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os" sheetId="1" state="visible" r:id="rId1"/>
    <sheet xmlns:r="http://schemas.openxmlformats.org/officeDocument/2006/relationships" name="Valuación AA1" sheetId="2" state="visible" r:id="rId2"/>
    <sheet xmlns:r="http://schemas.openxmlformats.org/officeDocument/2006/relationships" name="Fuente" sheetId="3" state="visible" r:id="rId3"/>
    <sheet xmlns:r="http://schemas.openxmlformats.org/officeDocument/2006/relationships" name="Trata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9"/>
    </font>
    <font>
      <sz val="9"/>
    </font>
    <font>
      <b val="1"/>
      <sz val="8"/>
    </font>
    <font>
      <i val="1"/>
      <sz val="8"/>
    </font>
    <font>
      <sz val="8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FF99"/>
      </patternFill>
    </fill>
    <fill>
      <patternFill patternType="solid">
        <fgColor rgb="00E6E6E6"/>
      </patternFill>
    </fill>
    <fill>
      <patternFill patternType="solid">
        <fgColor rgb="00FF5B5B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bottom" textRotation="90" wrapText="1"/>
    </xf>
    <xf numFmtId="0" fontId="5" fillId="4" borderId="1" applyAlignment="1" pivotButton="0" quotePrefix="0" xfId="0">
      <alignment horizontal="center" vertical="bottom" textRotation="90" wrapText="1"/>
    </xf>
    <xf numFmtId="0" fontId="5" fillId="3" borderId="1" applyAlignment="1" pivotButton="0" quotePrefix="0" xfId="0">
      <alignment horizontal="center" vertical="bottom" textRotation="90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5B5B"/>
          <bgColor rgb="00FF5B5B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37"/>
  <sheetViews>
    <sheetView workbookViewId="0">
      <pane xSplit="6" ySplit="11" topLeftCell="G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5" customWidth="1" min="3" max="3"/>
    <col width="5" customWidth="1" min="4" max="4"/>
    <col width="5" customWidth="1" min="5" max="5"/>
    <col width="11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</cols>
  <sheetData>
    <row r="1">
      <c r="B1" s="1" t="inlineStr">
        <is>
          <t>Matriz de análisis de riesgo · Proyecto ASEGURA: unidad de tramitación de expedientes</t>
        </is>
      </c>
    </row>
    <row r="2">
      <c r="B2" s="2" t="inlineStr">
        <is>
          <t>Caso de estudio del punto 6 del componente formativo «Ciberseguridad y seguridad de la información» (SENA). Alcance: tramitación presencial y por web, expedientes, equipos y redes.</t>
        </is>
      </c>
    </row>
    <row r="3">
      <c r="B3" s="3" t="inlineStr">
        <is>
          <t>Aprendiz</t>
        </is>
      </c>
      <c r="C3" s="4" t="inlineStr">
        <is>
          <t>Erick Manuel Sang Cifuentes</t>
        </is>
      </c>
    </row>
    <row r="4">
      <c r="B4" s="3" t="inlineStr">
        <is>
          <t>Programa</t>
        </is>
      </c>
      <c r="C4" s="4" t="inlineStr">
        <is>
          <t>Apropiación de los conceptos en ciberseguridad (23310008) · Ficha 3640188</t>
        </is>
      </c>
    </row>
    <row r="5">
      <c r="B5" s="3" t="inlineStr">
        <is>
          <t>Centro</t>
        </is>
      </c>
      <c r="C5" s="4" t="inlineStr">
        <is>
          <t>Centro de Comercio y Turismo · Regional Quindío</t>
        </is>
      </c>
    </row>
    <row r="6">
      <c r="B6" s="3" t="inlineStr">
        <is>
          <t>Instructora</t>
        </is>
      </c>
      <c r="C6" s="4" t="inlineStr">
        <is>
          <t>Luz Dary Bautista Parra</t>
        </is>
      </c>
    </row>
    <row r="7">
      <c r="B7" s="3" t="inlineStr">
        <is>
          <t>Evidencia</t>
        </is>
      </c>
      <c r="C7" s="4" t="inlineStr">
        <is>
          <t>AA3_EV01 Formato matriz de riesgo · Octubre de 2026</t>
        </is>
      </c>
    </row>
    <row r="8">
      <c r="G8" s="5" t="inlineStr">
        <is>
          <t>Probabilidad de la amenaza [1 = Insignificante, 2 = Baja, 3 = Mediana, 4 = Alta] (fila amarilla)</t>
        </is>
      </c>
    </row>
    <row r="9" ht="20" customHeight="1">
      <c r="B9" s="6" t="inlineStr">
        <is>
          <t>Datos e información
(activos del caso, valorados en la AA1)</t>
        </is>
      </c>
      <c r="C9" s="6" t="inlineStr">
        <is>
          <t>Clasificación</t>
        </is>
      </c>
      <c r="F9" s="7" t="inlineStr">
        <is>
          <t>Impacto
1 = Insignificante
2 = Bajo
3 = Mediano
4 = Alto</t>
        </is>
      </c>
      <c r="G9" s="6" t="inlineStr">
        <is>
          <t>Amenazas humanas</t>
        </is>
      </c>
      <c r="O9" s="8" t="inlineStr">
        <is>
          <t>Amenazas del entorno</t>
        </is>
      </c>
      <c r="AB9" s="9" t="inlineStr">
        <is>
          <t>Amenzas naturales</t>
        </is>
      </c>
      <c r="AF9" s="9" t="inlineStr">
        <is>
          <t xml:space="preserve">Vulnerabilidades </t>
        </is>
      </c>
    </row>
    <row r="10" ht="150" customHeight="1">
      <c r="C10" s="10" t="inlineStr">
        <is>
          <t>Confidencial, Privado, Sensitivo</t>
        </is>
      </c>
      <c r="D10" s="10" t="inlineStr">
        <is>
          <t>Obligación por ley / Contrato / Convenio</t>
        </is>
      </c>
      <c r="E10" s="10" t="inlineStr">
        <is>
          <t>Costo de recuperación (tiempo, económico, material, imagen, emocional)</t>
        </is>
      </c>
      <c r="G10" s="10" t="inlineStr">
        <is>
          <t>Acceso no autorizado</t>
        </is>
      </c>
      <c r="H10" s="10" t="inlineStr">
        <is>
          <t>Explotación de errores</t>
        </is>
      </c>
      <c r="I10" s="10" t="inlineStr">
        <is>
          <t>Ingenieria social</t>
        </is>
      </c>
      <c r="J10" s="10" t="inlineStr">
        <is>
          <t>Hacker</t>
        </is>
      </c>
      <c r="K10" s="10" t="inlineStr">
        <is>
          <t>Interceptación de datos</t>
        </is>
      </c>
      <c r="L10" s="10" t="inlineStr">
        <is>
          <t>Codigo malicioso</t>
        </is>
      </c>
      <c r="M10" s="10" t="inlineStr">
        <is>
          <t>Abuso de la informática</t>
        </is>
      </c>
      <c r="N10" s="10" t="inlineStr">
        <is>
          <t>Virus</t>
        </is>
      </c>
      <c r="O10" s="11" t="inlineStr">
        <is>
          <t>Polución</t>
        </is>
      </c>
      <c r="P10" s="11" t="inlineStr">
        <is>
          <t>Fallas electricas</t>
        </is>
      </c>
      <c r="Q10" s="11" t="inlineStr">
        <is>
          <t>Sustancias quimicas</t>
        </is>
      </c>
      <c r="R10" s="11" t="inlineStr">
        <is>
          <t>Fugas de liquido</t>
        </is>
      </c>
      <c r="S10" s="11" t="inlineStr">
        <is>
          <t>Temperatura</t>
        </is>
      </c>
      <c r="T10" s="11" t="inlineStr">
        <is>
          <t>Incendios</t>
        </is>
      </c>
      <c r="U10" s="11" t="inlineStr">
        <is>
          <t>Humedad</t>
        </is>
      </c>
      <c r="V10" s="11" t="inlineStr">
        <is>
          <t>Edificaciones cercanas</t>
        </is>
      </c>
      <c r="W10" s="11" t="inlineStr">
        <is>
          <t>Protección de equipos</t>
        </is>
      </c>
      <c r="X10" s="11" t="inlineStr">
        <is>
          <t>Fuentes de potencia</t>
        </is>
      </c>
      <c r="Y10" s="11" t="inlineStr">
        <is>
          <t>Cableado datos y electrico</t>
        </is>
      </c>
      <c r="Z10" s="11" t="inlineStr">
        <is>
          <t>Ingreso no autorizado</t>
        </is>
      </c>
      <c r="AA10" s="11" t="inlineStr">
        <is>
          <t>Fallas de equipos</t>
        </is>
      </c>
      <c r="AB10" s="12" t="inlineStr">
        <is>
          <t>Terremotos</t>
        </is>
      </c>
      <c r="AC10" s="12" t="inlineStr">
        <is>
          <t>Inundaciones</t>
        </is>
      </c>
      <c r="AD10" s="12" t="inlineStr">
        <is>
          <t>Tormentas electricas</t>
        </is>
      </c>
      <c r="AE10" s="12" t="inlineStr">
        <is>
          <t>Vendabales</t>
        </is>
      </c>
      <c r="AF10" s="12" t="inlineStr">
        <is>
          <t>Documentación servidores</t>
        </is>
      </c>
      <c r="AG10" s="12" t="inlineStr">
        <is>
          <t>Manuales y procedimientos</t>
        </is>
      </c>
      <c r="AH10" s="12" t="inlineStr">
        <is>
          <t>Listado de usuarios</t>
        </is>
      </c>
      <c r="AI10" s="12" t="inlineStr">
        <is>
          <t>Copias de seguridad</t>
        </is>
      </c>
      <c r="AJ10" s="12" t="inlineStr">
        <is>
          <t>Politicas de seguridad</t>
        </is>
      </c>
      <c r="AK10" s="12" t="inlineStr">
        <is>
          <t>Actualizaciones y control de cambios</t>
        </is>
      </c>
      <c r="AL10" s="12" t="inlineStr">
        <is>
          <t>Fail over</t>
        </is>
      </c>
      <c r="AM10" s="12" t="inlineStr">
        <is>
          <t>Plan de recuperación de desastres</t>
        </is>
      </c>
      <c r="AN10" s="12" t="inlineStr">
        <is>
          <t>Gestión y monitoreo</t>
        </is>
      </c>
      <c r="AO10" s="12" t="inlineStr">
        <is>
          <t>Auditoria</t>
        </is>
      </c>
    </row>
    <row r="11">
      <c r="G11" s="9" t="n">
        <v>4</v>
      </c>
      <c r="H11" s="9" t="n">
        <v>3</v>
      </c>
      <c r="I11" s="9" t="n">
        <v>3</v>
      </c>
      <c r="J11" s="9" t="n">
        <v>3</v>
      </c>
      <c r="K11" s="9" t="n">
        <v>2</v>
      </c>
      <c r="L11" s="9" t="n">
        <v>3</v>
      </c>
      <c r="M11" s="9" t="n">
        <v>2</v>
      </c>
      <c r="N11" s="9" t="n">
        <v>3</v>
      </c>
      <c r="O11" s="9" t="n">
        <v>1</v>
      </c>
      <c r="P11" s="9" t="n">
        <v>2</v>
      </c>
      <c r="Q11" s="9" t="n">
        <v>1</v>
      </c>
      <c r="R11" s="9" t="n">
        <v>1</v>
      </c>
      <c r="S11" s="9" t="n">
        <v>2</v>
      </c>
      <c r="T11" s="9" t="n">
        <v>1</v>
      </c>
      <c r="U11" s="9" t="n">
        <v>1</v>
      </c>
      <c r="V11" s="9" t="n">
        <v>1</v>
      </c>
      <c r="W11" s="9" t="n">
        <v>2</v>
      </c>
      <c r="X11" s="9" t="n">
        <v>2</v>
      </c>
      <c r="Y11" s="9" t="n">
        <v>2</v>
      </c>
      <c r="Z11" s="9" t="n">
        <v>2</v>
      </c>
      <c r="AA11" s="9" t="n">
        <v>2</v>
      </c>
      <c r="AB11" s="9" t="n">
        <v>2</v>
      </c>
      <c r="AC11" s="9" t="n">
        <v>1</v>
      </c>
      <c r="AD11" s="9" t="n">
        <v>2</v>
      </c>
      <c r="AE11" s="9" t="n">
        <v>1</v>
      </c>
      <c r="AF11" s="9" t="n">
        <v>3</v>
      </c>
      <c r="AG11" s="9" t="n">
        <v>3</v>
      </c>
      <c r="AH11" s="9" t="n">
        <v>3</v>
      </c>
      <c r="AI11" s="9" t="n">
        <v>2</v>
      </c>
      <c r="AJ11" s="9" t="n">
        <v>4</v>
      </c>
      <c r="AK11" s="9" t="n">
        <v>3</v>
      </c>
      <c r="AL11" s="9" t="n">
        <v>3</v>
      </c>
      <c r="AM11" s="9" t="n">
        <v>4</v>
      </c>
      <c r="AN11" s="9" t="n">
        <v>3</v>
      </c>
      <c r="AO11" s="9" t="n">
        <v>3</v>
      </c>
    </row>
    <row r="12" ht="24" customHeight="1">
      <c r="A12" s="13" t="n">
        <v>1</v>
      </c>
      <c r="B12" s="4" t="inlineStr">
        <is>
          <t>Expedientes en trámite</t>
        </is>
      </c>
      <c r="C12" s="14" t="inlineStr">
        <is>
          <t>x</t>
        </is>
      </c>
      <c r="D12" s="14" t="inlineStr">
        <is>
          <t>x</t>
        </is>
      </c>
      <c r="E12" s="14" t="inlineStr">
        <is>
          <t>x</t>
        </is>
      </c>
      <c r="F12" s="15" t="n">
        <v>4</v>
      </c>
      <c r="G12" s="14">
        <f>$F12*G$11</f>
        <v/>
      </c>
      <c r="H12" s="14">
        <f>$F12*H$11</f>
        <v/>
      </c>
      <c r="I12" s="14">
        <f>$F12*I$11</f>
        <v/>
      </c>
      <c r="J12" s="14">
        <f>$F12*J$11</f>
        <v/>
      </c>
      <c r="K12" s="14">
        <f>$F12*K$11</f>
        <v/>
      </c>
      <c r="L12" s="14">
        <f>$F12*L$11</f>
        <v/>
      </c>
      <c r="M12" s="14">
        <f>$F12*M$11</f>
        <v/>
      </c>
      <c r="N12" s="14">
        <f>$F12*N$11</f>
        <v/>
      </c>
      <c r="O12" s="14">
        <f>$F12*O$11</f>
        <v/>
      </c>
      <c r="P12" s="14">
        <f>$F12*P$11</f>
        <v/>
      </c>
      <c r="Q12" s="14">
        <f>$F12*Q$11</f>
        <v/>
      </c>
      <c r="R12" s="14">
        <f>$F12*R$11</f>
        <v/>
      </c>
      <c r="S12" s="14">
        <f>$F12*S$11</f>
        <v/>
      </c>
      <c r="T12" s="14">
        <f>$F12*T$11</f>
        <v/>
      </c>
      <c r="U12" s="14">
        <f>$F12*U$11</f>
        <v/>
      </c>
      <c r="V12" s="14">
        <f>$F12*V$11</f>
        <v/>
      </c>
      <c r="W12" s="14">
        <f>$F12*W$11</f>
        <v/>
      </c>
      <c r="X12" s="14">
        <f>$F12*X$11</f>
        <v/>
      </c>
      <c r="Y12" s="14">
        <f>$F12*Y$11</f>
        <v/>
      </c>
      <c r="Z12" s="14">
        <f>$F12*Z$11</f>
        <v/>
      </c>
      <c r="AA12" s="14">
        <f>$F12*AA$11</f>
        <v/>
      </c>
      <c r="AB12" s="14">
        <f>$F12*AB$11</f>
        <v/>
      </c>
      <c r="AC12" s="14">
        <f>$F12*AC$11</f>
        <v/>
      </c>
      <c r="AD12" s="14">
        <f>$F12*AD$11</f>
        <v/>
      </c>
      <c r="AE12" s="14">
        <f>$F12*AE$11</f>
        <v/>
      </c>
      <c r="AF12" s="14">
        <f>$F12*AF$11</f>
        <v/>
      </c>
      <c r="AG12" s="14">
        <f>$F12*AG$11</f>
        <v/>
      </c>
      <c r="AH12" s="14">
        <f>$F12*AH$11</f>
        <v/>
      </c>
      <c r="AI12" s="14">
        <f>$F12*AI$11</f>
        <v/>
      </c>
      <c r="AJ12" s="14">
        <f>$F12*AJ$11</f>
        <v/>
      </c>
      <c r="AK12" s="14">
        <f>$F12*AK$11</f>
        <v/>
      </c>
      <c r="AL12" s="14">
        <f>$F12*AL$11</f>
        <v/>
      </c>
      <c r="AM12" s="14">
        <f>$F12*AM$11</f>
        <v/>
      </c>
      <c r="AN12" s="14">
        <f>$F12*AN$11</f>
        <v/>
      </c>
      <c r="AO12" s="14">
        <f>$F12*AO$11</f>
        <v/>
      </c>
    </row>
    <row r="13" ht="24" customHeight="1">
      <c r="A13" s="13" t="n">
        <v>2</v>
      </c>
      <c r="B13" s="4" t="inlineStr">
        <is>
          <t>Expedientes cerrados (archivo central)</t>
        </is>
      </c>
      <c r="C13" s="14" t="inlineStr">
        <is>
          <t>x</t>
        </is>
      </c>
      <c r="D13" s="14" t="inlineStr">
        <is>
          <t>x</t>
        </is>
      </c>
      <c r="E13" s="14" t="inlineStr">
        <is>
          <t>x</t>
        </is>
      </c>
      <c r="F13" s="15" t="n">
        <v>4</v>
      </c>
      <c r="G13" s="14">
        <f>$F13*G$11</f>
        <v/>
      </c>
      <c r="H13" s="14">
        <f>$F13*H$11</f>
        <v/>
      </c>
      <c r="I13" s="14">
        <f>$F13*I$11</f>
        <v/>
      </c>
      <c r="J13" s="14">
        <f>$F13*J$11</f>
        <v/>
      </c>
      <c r="K13" s="14">
        <f>$F13*K$11</f>
        <v/>
      </c>
      <c r="L13" s="14">
        <f>$F13*L$11</f>
        <v/>
      </c>
      <c r="M13" s="14">
        <f>$F13*M$11</f>
        <v/>
      </c>
      <c r="N13" s="14">
        <f>$F13*N$11</f>
        <v/>
      </c>
      <c r="O13" s="14">
        <f>$F13*O$11</f>
        <v/>
      </c>
      <c r="P13" s="14">
        <f>$F13*P$11</f>
        <v/>
      </c>
      <c r="Q13" s="14">
        <f>$F13*Q$11</f>
        <v/>
      </c>
      <c r="R13" s="14">
        <f>$F13*R$11</f>
        <v/>
      </c>
      <c r="S13" s="14">
        <f>$F13*S$11</f>
        <v/>
      </c>
      <c r="T13" s="14">
        <f>$F13*T$11</f>
        <v/>
      </c>
      <c r="U13" s="14">
        <f>$F13*U$11</f>
        <v/>
      </c>
      <c r="V13" s="14">
        <f>$F13*V$11</f>
        <v/>
      </c>
      <c r="W13" s="14">
        <f>$F13*W$11</f>
        <v/>
      </c>
      <c r="X13" s="14">
        <f>$F13*X$11</f>
        <v/>
      </c>
      <c r="Y13" s="14">
        <f>$F13*Y$11</f>
        <v/>
      </c>
      <c r="Z13" s="14">
        <f>$F13*Z$11</f>
        <v/>
      </c>
      <c r="AA13" s="14">
        <f>$F13*AA$11</f>
        <v/>
      </c>
      <c r="AB13" s="14">
        <f>$F13*AB$11</f>
        <v/>
      </c>
      <c r="AC13" s="14">
        <f>$F13*AC$11</f>
        <v/>
      </c>
      <c r="AD13" s="14">
        <f>$F13*AD$11</f>
        <v/>
      </c>
      <c r="AE13" s="14">
        <f>$F13*AE$11</f>
        <v/>
      </c>
      <c r="AF13" s="14">
        <f>$F13*AF$11</f>
        <v/>
      </c>
      <c r="AG13" s="14">
        <f>$F13*AG$11</f>
        <v/>
      </c>
      <c r="AH13" s="14">
        <f>$F13*AH$11</f>
        <v/>
      </c>
      <c r="AI13" s="14">
        <f>$F13*AI$11</f>
        <v/>
      </c>
      <c r="AJ13" s="14">
        <f>$F13*AJ$11</f>
        <v/>
      </c>
      <c r="AK13" s="14">
        <f>$F13*AK$11</f>
        <v/>
      </c>
      <c r="AL13" s="14">
        <f>$F13*AL$11</f>
        <v/>
      </c>
      <c r="AM13" s="14">
        <f>$F13*AM$11</f>
        <v/>
      </c>
      <c r="AN13" s="14">
        <f>$F13*AN$11</f>
        <v/>
      </c>
      <c r="AO13" s="14">
        <f>$F13*AO$11</f>
        <v/>
      </c>
    </row>
    <row r="14" ht="24" customHeight="1">
      <c r="A14" s="13" t="n">
        <v>3</v>
      </c>
      <c r="B14" s="4" t="inlineStr">
        <is>
          <t>Servicio de tramitación electrónica (web)</t>
        </is>
      </c>
      <c r="C14" s="14" t="inlineStr">
        <is>
          <t>x</t>
        </is>
      </c>
      <c r="D14" s="14" t="inlineStr">
        <is>
          <t>x</t>
        </is>
      </c>
      <c r="E14" s="14" t="inlineStr">
        <is>
          <t>x</t>
        </is>
      </c>
      <c r="F14" s="15" t="n">
        <v>4</v>
      </c>
      <c r="G14" s="14">
        <f>$F14*G$11</f>
        <v/>
      </c>
      <c r="H14" s="14">
        <f>$F14*H$11</f>
        <v/>
      </c>
      <c r="I14" s="14">
        <f>$F14*I$11</f>
        <v/>
      </c>
      <c r="J14" s="14">
        <f>$F14*J$11</f>
        <v/>
      </c>
      <c r="K14" s="14">
        <f>$F14*K$11</f>
        <v/>
      </c>
      <c r="L14" s="14">
        <f>$F14*L$11</f>
        <v/>
      </c>
      <c r="M14" s="14">
        <f>$F14*M$11</f>
        <v/>
      </c>
      <c r="N14" s="14">
        <f>$F14*N$11</f>
        <v/>
      </c>
      <c r="O14" s="14">
        <f>$F14*O$11</f>
        <v/>
      </c>
      <c r="P14" s="14">
        <f>$F14*P$11</f>
        <v/>
      </c>
      <c r="Q14" s="14">
        <f>$F14*Q$11</f>
        <v/>
      </c>
      <c r="R14" s="14">
        <f>$F14*R$11</f>
        <v/>
      </c>
      <c r="S14" s="14">
        <f>$F14*S$11</f>
        <v/>
      </c>
      <c r="T14" s="14">
        <f>$F14*T$11</f>
        <v/>
      </c>
      <c r="U14" s="14">
        <f>$F14*U$11</f>
        <v/>
      </c>
      <c r="V14" s="14">
        <f>$F14*V$11</f>
        <v/>
      </c>
      <c r="W14" s="14">
        <f>$F14*W$11</f>
        <v/>
      </c>
      <c r="X14" s="14">
        <f>$F14*X$11</f>
        <v/>
      </c>
      <c r="Y14" s="14">
        <f>$F14*Y$11</f>
        <v/>
      </c>
      <c r="Z14" s="14">
        <f>$F14*Z$11</f>
        <v/>
      </c>
      <c r="AA14" s="14">
        <f>$F14*AA$11</f>
        <v/>
      </c>
      <c r="AB14" s="14">
        <f>$F14*AB$11</f>
        <v/>
      </c>
      <c r="AC14" s="14">
        <f>$F14*AC$11</f>
        <v/>
      </c>
      <c r="AD14" s="14">
        <f>$F14*AD$11</f>
        <v/>
      </c>
      <c r="AE14" s="14">
        <f>$F14*AE$11</f>
        <v/>
      </c>
      <c r="AF14" s="14">
        <f>$F14*AF$11</f>
        <v/>
      </c>
      <c r="AG14" s="14">
        <f>$F14*AG$11</f>
        <v/>
      </c>
      <c r="AH14" s="14">
        <f>$F14*AH$11</f>
        <v/>
      </c>
      <c r="AI14" s="14">
        <f>$F14*AI$11</f>
        <v/>
      </c>
      <c r="AJ14" s="14">
        <f>$F14*AJ$11</f>
        <v/>
      </c>
      <c r="AK14" s="14">
        <f>$F14*AK$11</f>
        <v/>
      </c>
      <c r="AL14" s="14">
        <f>$F14*AL$11</f>
        <v/>
      </c>
      <c r="AM14" s="14">
        <f>$F14*AM$11</f>
        <v/>
      </c>
      <c r="AN14" s="14">
        <f>$F14*AN$11</f>
        <v/>
      </c>
      <c r="AO14" s="14">
        <f>$F14*AO$11</f>
        <v/>
      </c>
    </row>
    <row r="15" ht="24" customHeight="1">
      <c r="A15" s="13" t="n">
        <v>4</v>
      </c>
      <c r="B15" s="4" t="inlineStr">
        <is>
          <t>Servicio de tramitación presencial</t>
        </is>
      </c>
      <c r="C15" s="14" t="inlineStr">
        <is>
          <t>x</t>
        </is>
      </c>
      <c r="D15" s="14" t="inlineStr">
        <is>
          <t>x</t>
        </is>
      </c>
      <c r="E15" s="14" t="inlineStr">
        <is>
          <t>x</t>
        </is>
      </c>
      <c r="F15" s="15" t="n">
        <v>4</v>
      </c>
      <c r="G15" s="14">
        <f>$F15*G$11</f>
        <v/>
      </c>
      <c r="H15" s="14">
        <f>$F15*H$11</f>
        <v/>
      </c>
      <c r="I15" s="14">
        <f>$F15*I$11</f>
        <v/>
      </c>
      <c r="J15" s="14">
        <f>$F15*J$11</f>
        <v/>
      </c>
      <c r="K15" s="14">
        <f>$F15*K$11</f>
        <v/>
      </c>
      <c r="L15" s="14">
        <f>$F15*L$11</f>
        <v/>
      </c>
      <c r="M15" s="14">
        <f>$F15*M$11</f>
        <v/>
      </c>
      <c r="N15" s="14">
        <f>$F15*N$11</f>
        <v/>
      </c>
      <c r="O15" s="14">
        <f>$F15*O$11</f>
        <v/>
      </c>
      <c r="P15" s="14">
        <f>$F15*P$11</f>
        <v/>
      </c>
      <c r="Q15" s="14">
        <f>$F15*Q$11</f>
        <v/>
      </c>
      <c r="R15" s="14">
        <f>$F15*R$11</f>
        <v/>
      </c>
      <c r="S15" s="14">
        <f>$F15*S$11</f>
        <v/>
      </c>
      <c r="T15" s="14">
        <f>$F15*T$11</f>
        <v/>
      </c>
      <c r="U15" s="14">
        <f>$F15*U$11</f>
        <v/>
      </c>
      <c r="V15" s="14">
        <f>$F15*V$11</f>
        <v/>
      </c>
      <c r="W15" s="14">
        <f>$F15*W$11</f>
        <v/>
      </c>
      <c r="X15" s="14">
        <f>$F15*X$11</f>
        <v/>
      </c>
      <c r="Y15" s="14">
        <f>$F15*Y$11</f>
        <v/>
      </c>
      <c r="Z15" s="14">
        <f>$F15*Z$11</f>
        <v/>
      </c>
      <c r="AA15" s="14">
        <f>$F15*AA$11</f>
        <v/>
      </c>
      <c r="AB15" s="14">
        <f>$F15*AB$11</f>
        <v/>
      </c>
      <c r="AC15" s="14">
        <f>$F15*AC$11</f>
        <v/>
      </c>
      <c r="AD15" s="14">
        <f>$F15*AD$11</f>
        <v/>
      </c>
      <c r="AE15" s="14">
        <f>$F15*AE$11</f>
        <v/>
      </c>
      <c r="AF15" s="14">
        <f>$F15*AF$11</f>
        <v/>
      </c>
      <c r="AG15" s="14">
        <f>$F15*AG$11</f>
        <v/>
      </c>
      <c r="AH15" s="14">
        <f>$F15*AH$11</f>
        <v/>
      </c>
      <c r="AI15" s="14">
        <f>$F15*AI$11</f>
        <v/>
      </c>
      <c r="AJ15" s="14">
        <f>$F15*AJ$11</f>
        <v/>
      </c>
      <c r="AK15" s="14">
        <f>$F15*AK$11</f>
        <v/>
      </c>
      <c r="AL15" s="14">
        <f>$F15*AL$11</f>
        <v/>
      </c>
      <c r="AM15" s="14">
        <f>$F15*AM$11</f>
        <v/>
      </c>
      <c r="AN15" s="14">
        <f>$F15*AN$11</f>
        <v/>
      </c>
      <c r="AO15" s="14">
        <f>$F15*AO$11</f>
        <v/>
      </c>
    </row>
    <row r="16" ht="24" customHeight="1">
      <c r="A16" s="13" t="n">
        <v>5</v>
      </c>
      <c r="B16" s="4" t="inlineStr">
        <is>
          <t>Software de tramitación y base de datos</t>
        </is>
      </c>
      <c r="C16" s="14" t="inlineStr">
        <is>
          <t>x</t>
        </is>
      </c>
      <c r="D16" s="14" t="inlineStr">
        <is>
          <t>x</t>
        </is>
      </c>
      <c r="E16" s="14" t="inlineStr">
        <is>
          <t>x</t>
        </is>
      </c>
      <c r="F16" s="15" t="n">
        <v>4</v>
      </c>
      <c r="G16" s="14">
        <f>$F16*G$11</f>
        <v/>
      </c>
      <c r="H16" s="14">
        <f>$F16*H$11</f>
        <v/>
      </c>
      <c r="I16" s="14">
        <f>$F16*I$11</f>
        <v/>
      </c>
      <c r="J16" s="14">
        <f>$F16*J$11</f>
        <v/>
      </c>
      <c r="K16" s="14">
        <f>$F16*K$11</f>
        <v/>
      </c>
      <c r="L16" s="14">
        <f>$F16*L$11</f>
        <v/>
      </c>
      <c r="M16" s="14">
        <f>$F16*M$11</f>
        <v/>
      </c>
      <c r="N16" s="14">
        <f>$F16*N$11</f>
        <v/>
      </c>
      <c r="O16" s="14">
        <f>$F16*O$11</f>
        <v/>
      </c>
      <c r="P16" s="14">
        <f>$F16*P$11</f>
        <v/>
      </c>
      <c r="Q16" s="14">
        <f>$F16*Q$11</f>
        <v/>
      </c>
      <c r="R16" s="14">
        <f>$F16*R$11</f>
        <v/>
      </c>
      <c r="S16" s="14">
        <f>$F16*S$11</f>
        <v/>
      </c>
      <c r="T16" s="14">
        <f>$F16*T$11</f>
        <v/>
      </c>
      <c r="U16" s="14">
        <f>$F16*U$11</f>
        <v/>
      </c>
      <c r="V16" s="14">
        <f>$F16*V$11</f>
        <v/>
      </c>
      <c r="W16" s="14">
        <f>$F16*W$11</f>
        <v/>
      </c>
      <c r="X16" s="14">
        <f>$F16*X$11</f>
        <v/>
      </c>
      <c r="Y16" s="14">
        <f>$F16*Y$11</f>
        <v/>
      </c>
      <c r="Z16" s="14">
        <f>$F16*Z$11</f>
        <v/>
      </c>
      <c r="AA16" s="14">
        <f>$F16*AA$11</f>
        <v/>
      </c>
      <c r="AB16" s="14">
        <f>$F16*AB$11</f>
        <v/>
      </c>
      <c r="AC16" s="14">
        <f>$F16*AC$11</f>
        <v/>
      </c>
      <c r="AD16" s="14">
        <f>$F16*AD$11</f>
        <v/>
      </c>
      <c r="AE16" s="14">
        <f>$F16*AE$11</f>
        <v/>
      </c>
      <c r="AF16" s="14">
        <f>$F16*AF$11</f>
        <v/>
      </c>
      <c r="AG16" s="14">
        <f>$F16*AG$11</f>
        <v/>
      </c>
      <c r="AH16" s="14">
        <f>$F16*AH$11</f>
        <v/>
      </c>
      <c r="AI16" s="14">
        <f>$F16*AI$11</f>
        <v/>
      </c>
      <c r="AJ16" s="14">
        <f>$F16*AJ$11</f>
        <v/>
      </c>
      <c r="AK16" s="14">
        <f>$F16*AK$11</f>
        <v/>
      </c>
      <c r="AL16" s="14">
        <f>$F16*AL$11</f>
        <v/>
      </c>
      <c r="AM16" s="14">
        <f>$F16*AM$11</f>
        <v/>
      </c>
      <c r="AN16" s="14">
        <f>$F16*AN$11</f>
        <v/>
      </c>
      <c r="AO16" s="14">
        <f>$F16*AO$11</f>
        <v/>
      </c>
    </row>
    <row r="17" ht="24" customHeight="1">
      <c r="A17" s="13" t="n">
        <v>6</v>
      </c>
      <c r="B17" s="4" t="inlineStr">
        <is>
          <t>Portal web de administración electrónica</t>
        </is>
      </c>
      <c r="C17" s="14" t="inlineStr">
        <is>
          <t>x</t>
        </is>
      </c>
      <c r="D17" s="14" t="inlineStr">
        <is>
          <t>x</t>
        </is>
      </c>
      <c r="E17" s="14" t="inlineStr">
        <is>
          <t>x</t>
        </is>
      </c>
      <c r="F17" s="15" t="n">
        <v>4</v>
      </c>
      <c r="G17" s="14">
        <f>$F17*G$11</f>
        <v/>
      </c>
      <c r="H17" s="14">
        <f>$F17*H$11</f>
        <v/>
      </c>
      <c r="I17" s="14">
        <f>$F17*I$11</f>
        <v/>
      </c>
      <c r="J17" s="14">
        <f>$F17*J$11</f>
        <v/>
      </c>
      <c r="K17" s="14">
        <f>$F17*K$11</f>
        <v/>
      </c>
      <c r="L17" s="14">
        <f>$F17*L$11</f>
        <v/>
      </c>
      <c r="M17" s="14">
        <f>$F17*M$11</f>
        <v/>
      </c>
      <c r="N17" s="14">
        <f>$F17*N$11</f>
        <v/>
      </c>
      <c r="O17" s="14">
        <f>$F17*O$11</f>
        <v/>
      </c>
      <c r="P17" s="14">
        <f>$F17*P$11</f>
        <v/>
      </c>
      <c r="Q17" s="14">
        <f>$F17*Q$11</f>
        <v/>
      </c>
      <c r="R17" s="14">
        <f>$F17*R$11</f>
        <v/>
      </c>
      <c r="S17" s="14">
        <f>$F17*S$11</f>
        <v/>
      </c>
      <c r="T17" s="14">
        <f>$F17*T$11</f>
        <v/>
      </c>
      <c r="U17" s="14">
        <f>$F17*U$11</f>
        <v/>
      </c>
      <c r="V17" s="14">
        <f>$F17*V$11</f>
        <v/>
      </c>
      <c r="W17" s="14">
        <f>$F17*W$11</f>
        <v/>
      </c>
      <c r="X17" s="14">
        <f>$F17*X$11</f>
        <v/>
      </c>
      <c r="Y17" s="14">
        <f>$F17*Y$11</f>
        <v/>
      </c>
      <c r="Z17" s="14">
        <f>$F17*Z$11</f>
        <v/>
      </c>
      <c r="AA17" s="14">
        <f>$F17*AA$11</f>
        <v/>
      </c>
      <c r="AB17" s="14">
        <f>$F17*AB$11</f>
        <v/>
      </c>
      <c r="AC17" s="14">
        <f>$F17*AC$11</f>
        <v/>
      </c>
      <c r="AD17" s="14">
        <f>$F17*AD$11</f>
        <v/>
      </c>
      <c r="AE17" s="14">
        <f>$F17*AE$11</f>
        <v/>
      </c>
      <c r="AF17" s="14">
        <f>$F17*AF$11</f>
        <v/>
      </c>
      <c r="AG17" s="14">
        <f>$F17*AG$11</f>
        <v/>
      </c>
      <c r="AH17" s="14">
        <f>$F17*AH$11</f>
        <v/>
      </c>
      <c r="AI17" s="14">
        <f>$F17*AI$11</f>
        <v/>
      </c>
      <c r="AJ17" s="14">
        <f>$F17*AJ$11</f>
        <v/>
      </c>
      <c r="AK17" s="14">
        <f>$F17*AK$11</f>
        <v/>
      </c>
      <c r="AL17" s="14">
        <f>$F17*AL$11</f>
        <v/>
      </c>
      <c r="AM17" s="14">
        <f>$F17*AM$11</f>
        <v/>
      </c>
      <c r="AN17" s="14">
        <f>$F17*AN$11</f>
        <v/>
      </c>
      <c r="AO17" s="14">
        <f>$F17*AO$11</f>
        <v/>
      </c>
    </row>
    <row r="18" ht="24" customHeight="1">
      <c r="A18" s="13" t="n">
        <v>7</v>
      </c>
      <c r="B18" s="4" t="inlineStr">
        <is>
          <t>Correo electrónico</t>
        </is>
      </c>
      <c r="C18" s="14" t="inlineStr">
        <is>
          <t>x</t>
        </is>
      </c>
      <c r="D18" s="14" t="n"/>
      <c r="E18" s="14" t="n"/>
      <c r="F18" s="15" t="n">
        <v>3</v>
      </c>
      <c r="G18" s="14">
        <f>$F18*G$11</f>
        <v/>
      </c>
      <c r="H18" s="14">
        <f>$F18*H$11</f>
        <v/>
      </c>
      <c r="I18" s="14">
        <f>$F18*I$11</f>
        <v/>
      </c>
      <c r="J18" s="14">
        <f>$F18*J$11</f>
        <v/>
      </c>
      <c r="K18" s="14">
        <f>$F18*K$11</f>
        <v/>
      </c>
      <c r="L18" s="14">
        <f>$F18*L$11</f>
        <v/>
      </c>
      <c r="M18" s="14">
        <f>$F18*M$11</f>
        <v/>
      </c>
      <c r="N18" s="14">
        <f>$F18*N$11</f>
        <v/>
      </c>
      <c r="O18" s="14">
        <f>$F18*O$11</f>
        <v/>
      </c>
      <c r="P18" s="14">
        <f>$F18*P$11</f>
        <v/>
      </c>
      <c r="Q18" s="14">
        <f>$F18*Q$11</f>
        <v/>
      </c>
      <c r="R18" s="14">
        <f>$F18*R$11</f>
        <v/>
      </c>
      <c r="S18" s="14">
        <f>$F18*S$11</f>
        <v/>
      </c>
      <c r="T18" s="14">
        <f>$F18*T$11</f>
        <v/>
      </c>
      <c r="U18" s="14">
        <f>$F18*U$11</f>
        <v/>
      </c>
      <c r="V18" s="14">
        <f>$F18*V$11</f>
        <v/>
      </c>
      <c r="W18" s="14">
        <f>$F18*W$11</f>
        <v/>
      </c>
      <c r="X18" s="14">
        <f>$F18*X$11</f>
        <v/>
      </c>
      <c r="Y18" s="14">
        <f>$F18*Y$11</f>
        <v/>
      </c>
      <c r="Z18" s="14">
        <f>$F18*Z$11</f>
        <v/>
      </c>
      <c r="AA18" s="14">
        <f>$F18*AA$11</f>
        <v/>
      </c>
      <c r="AB18" s="14">
        <f>$F18*AB$11</f>
        <v/>
      </c>
      <c r="AC18" s="14">
        <f>$F18*AC$11</f>
        <v/>
      </c>
      <c r="AD18" s="14">
        <f>$F18*AD$11</f>
        <v/>
      </c>
      <c r="AE18" s="14">
        <f>$F18*AE$11</f>
        <v/>
      </c>
      <c r="AF18" s="14">
        <f>$F18*AF$11</f>
        <v/>
      </c>
      <c r="AG18" s="14">
        <f>$F18*AG$11</f>
        <v/>
      </c>
      <c r="AH18" s="14">
        <f>$F18*AH$11</f>
        <v/>
      </c>
      <c r="AI18" s="14">
        <f>$F18*AI$11</f>
        <v/>
      </c>
      <c r="AJ18" s="14">
        <f>$F18*AJ$11</f>
        <v/>
      </c>
      <c r="AK18" s="14">
        <f>$F18*AK$11</f>
        <v/>
      </c>
      <c r="AL18" s="14">
        <f>$F18*AL$11</f>
        <v/>
      </c>
      <c r="AM18" s="14">
        <f>$F18*AM$11</f>
        <v/>
      </c>
      <c r="AN18" s="14">
        <f>$F18*AN$11</f>
        <v/>
      </c>
      <c r="AO18" s="14">
        <f>$F18*AO$11</f>
        <v/>
      </c>
    </row>
    <row r="19" ht="24" customHeight="1">
      <c r="A19" s="13" t="n">
        <v>8</v>
      </c>
      <c r="B19" s="4" t="inlineStr">
        <is>
          <t>Servidor</t>
        </is>
      </c>
      <c r="C19" s="14" t="inlineStr">
        <is>
          <t>x</t>
        </is>
      </c>
      <c r="D19" s="14" t="inlineStr">
        <is>
          <t>x</t>
        </is>
      </c>
      <c r="E19" s="14" t="inlineStr">
        <is>
          <t>x</t>
        </is>
      </c>
      <c r="F19" s="15" t="n">
        <v>4</v>
      </c>
      <c r="G19" s="14">
        <f>$F19*G$11</f>
        <v/>
      </c>
      <c r="H19" s="14">
        <f>$F19*H$11</f>
        <v/>
      </c>
      <c r="I19" s="14">
        <f>$F19*I$11</f>
        <v/>
      </c>
      <c r="J19" s="14">
        <f>$F19*J$11</f>
        <v/>
      </c>
      <c r="K19" s="14">
        <f>$F19*K$11</f>
        <v/>
      </c>
      <c r="L19" s="14">
        <f>$F19*L$11</f>
        <v/>
      </c>
      <c r="M19" s="14">
        <f>$F19*M$11</f>
        <v/>
      </c>
      <c r="N19" s="14">
        <f>$F19*N$11</f>
        <v/>
      </c>
      <c r="O19" s="14">
        <f>$F19*O$11</f>
        <v/>
      </c>
      <c r="P19" s="14">
        <f>$F19*P$11</f>
        <v/>
      </c>
      <c r="Q19" s="14">
        <f>$F19*Q$11</f>
        <v/>
      </c>
      <c r="R19" s="14">
        <f>$F19*R$11</f>
        <v/>
      </c>
      <c r="S19" s="14">
        <f>$F19*S$11</f>
        <v/>
      </c>
      <c r="T19" s="14">
        <f>$F19*T$11</f>
        <v/>
      </c>
      <c r="U19" s="14">
        <f>$F19*U$11</f>
        <v/>
      </c>
      <c r="V19" s="14">
        <f>$F19*V$11</f>
        <v/>
      </c>
      <c r="W19" s="14">
        <f>$F19*W$11</f>
        <v/>
      </c>
      <c r="X19" s="14">
        <f>$F19*X$11</f>
        <v/>
      </c>
      <c r="Y19" s="14">
        <f>$F19*Y$11</f>
        <v/>
      </c>
      <c r="Z19" s="14">
        <f>$F19*Z$11</f>
        <v/>
      </c>
      <c r="AA19" s="14">
        <f>$F19*AA$11</f>
        <v/>
      </c>
      <c r="AB19" s="14">
        <f>$F19*AB$11</f>
        <v/>
      </c>
      <c r="AC19" s="14">
        <f>$F19*AC$11</f>
        <v/>
      </c>
      <c r="AD19" s="14">
        <f>$F19*AD$11</f>
        <v/>
      </c>
      <c r="AE19" s="14">
        <f>$F19*AE$11</f>
        <v/>
      </c>
      <c r="AF19" s="14">
        <f>$F19*AF$11</f>
        <v/>
      </c>
      <c r="AG19" s="14">
        <f>$F19*AG$11</f>
        <v/>
      </c>
      <c r="AH19" s="14">
        <f>$F19*AH$11</f>
        <v/>
      </c>
      <c r="AI19" s="14">
        <f>$F19*AI$11</f>
        <v/>
      </c>
      <c r="AJ19" s="14">
        <f>$F19*AJ$11</f>
        <v/>
      </c>
      <c r="AK19" s="14">
        <f>$F19*AK$11</f>
        <v/>
      </c>
      <c r="AL19" s="14">
        <f>$F19*AL$11</f>
        <v/>
      </c>
      <c r="AM19" s="14">
        <f>$F19*AM$11</f>
        <v/>
      </c>
      <c r="AN19" s="14">
        <f>$F19*AN$11</f>
        <v/>
      </c>
      <c r="AO19" s="14">
        <f>$F19*AO$11</f>
        <v/>
      </c>
    </row>
    <row r="20" ht="24" customHeight="1">
      <c r="A20" s="13" t="n">
        <v>9</v>
      </c>
      <c r="B20" s="4" t="inlineStr">
        <is>
          <t>Equipos de red (enrutador, cortafuegos)</t>
        </is>
      </c>
      <c r="C20" s="14" t="inlineStr">
        <is>
          <t>x</t>
        </is>
      </c>
      <c r="D20" s="14" t="n"/>
      <c r="E20" s="14" t="inlineStr">
        <is>
          <t>x</t>
        </is>
      </c>
      <c r="F20" s="15" t="n">
        <v>4</v>
      </c>
      <c r="G20" s="14">
        <f>$F20*G$11</f>
        <v/>
      </c>
      <c r="H20" s="14">
        <f>$F20*H$11</f>
        <v/>
      </c>
      <c r="I20" s="14">
        <f>$F20*I$11</f>
        <v/>
      </c>
      <c r="J20" s="14">
        <f>$F20*J$11</f>
        <v/>
      </c>
      <c r="K20" s="14">
        <f>$F20*K$11</f>
        <v/>
      </c>
      <c r="L20" s="14">
        <f>$F20*L$11</f>
        <v/>
      </c>
      <c r="M20" s="14">
        <f>$F20*M$11</f>
        <v/>
      </c>
      <c r="N20" s="14">
        <f>$F20*N$11</f>
        <v/>
      </c>
      <c r="O20" s="14">
        <f>$F20*O$11</f>
        <v/>
      </c>
      <c r="P20" s="14">
        <f>$F20*P$11</f>
        <v/>
      </c>
      <c r="Q20" s="14">
        <f>$F20*Q$11</f>
        <v/>
      </c>
      <c r="R20" s="14">
        <f>$F20*R$11</f>
        <v/>
      </c>
      <c r="S20" s="14">
        <f>$F20*S$11</f>
        <v/>
      </c>
      <c r="T20" s="14">
        <f>$F20*T$11</f>
        <v/>
      </c>
      <c r="U20" s="14">
        <f>$F20*U$11</f>
        <v/>
      </c>
      <c r="V20" s="14">
        <f>$F20*V$11</f>
        <v/>
      </c>
      <c r="W20" s="14">
        <f>$F20*W$11</f>
        <v/>
      </c>
      <c r="X20" s="14">
        <f>$F20*X$11</f>
        <v/>
      </c>
      <c r="Y20" s="14">
        <f>$F20*Y$11</f>
        <v/>
      </c>
      <c r="Z20" s="14">
        <f>$F20*Z$11</f>
        <v/>
      </c>
      <c r="AA20" s="14">
        <f>$F20*AA$11</f>
        <v/>
      </c>
      <c r="AB20" s="14">
        <f>$F20*AB$11</f>
        <v/>
      </c>
      <c r="AC20" s="14">
        <f>$F20*AC$11</f>
        <v/>
      </c>
      <c r="AD20" s="14">
        <f>$F20*AD$11</f>
        <v/>
      </c>
      <c r="AE20" s="14">
        <f>$F20*AE$11</f>
        <v/>
      </c>
      <c r="AF20" s="14">
        <f>$F20*AF$11</f>
        <v/>
      </c>
      <c r="AG20" s="14">
        <f>$F20*AG$11</f>
        <v/>
      </c>
      <c r="AH20" s="14">
        <f>$F20*AH$11</f>
        <v/>
      </c>
      <c r="AI20" s="14">
        <f>$F20*AI$11</f>
        <v/>
      </c>
      <c r="AJ20" s="14">
        <f>$F20*AJ$11</f>
        <v/>
      </c>
      <c r="AK20" s="14">
        <f>$F20*AK$11</f>
        <v/>
      </c>
      <c r="AL20" s="14">
        <f>$F20*AL$11</f>
        <v/>
      </c>
      <c r="AM20" s="14">
        <f>$F20*AM$11</f>
        <v/>
      </c>
      <c r="AN20" s="14">
        <f>$F20*AN$11</f>
        <v/>
      </c>
      <c r="AO20" s="14">
        <f>$F20*AO$11</f>
        <v/>
      </c>
    </row>
    <row r="21" ht="24" customHeight="1">
      <c r="A21" s="13" t="n">
        <v>10</v>
      </c>
      <c r="B21" s="4" t="inlineStr">
        <is>
          <t>Computadores de escritorio</t>
        </is>
      </c>
      <c r="C21" s="14" t="inlineStr">
        <is>
          <t>x</t>
        </is>
      </c>
      <c r="D21" s="14" t="n"/>
      <c r="E21" s="14" t="inlineStr">
        <is>
          <t>x</t>
        </is>
      </c>
      <c r="F21" s="15" t="n">
        <v>3</v>
      </c>
      <c r="G21" s="14">
        <f>$F21*G$11</f>
        <v/>
      </c>
      <c r="H21" s="14">
        <f>$F21*H$11</f>
        <v/>
      </c>
      <c r="I21" s="14">
        <f>$F21*I$11</f>
        <v/>
      </c>
      <c r="J21" s="14">
        <f>$F21*J$11</f>
        <v/>
      </c>
      <c r="K21" s="14">
        <f>$F21*K$11</f>
        <v/>
      </c>
      <c r="L21" s="14">
        <f>$F21*L$11</f>
        <v/>
      </c>
      <c r="M21" s="14">
        <f>$F21*M$11</f>
        <v/>
      </c>
      <c r="N21" s="14">
        <f>$F21*N$11</f>
        <v/>
      </c>
      <c r="O21" s="14">
        <f>$F21*O$11</f>
        <v/>
      </c>
      <c r="P21" s="14">
        <f>$F21*P$11</f>
        <v/>
      </c>
      <c r="Q21" s="14">
        <f>$F21*Q$11</f>
        <v/>
      </c>
      <c r="R21" s="14">
        <f>$F21*R$11</f>
        <v/>
      </c>
      <c r="S21" s="14">
        <f>$F21*S$11</f>
        <v/>
      </c>
      <c r="T21" s="14">
        <f>$F21*T$11</f>
        <v/>
      </c>
      <c r="U21" s="14">
        <f>$F21*U$11</f>
        <v/>
      </c>
      <c r="V21" s="14">
        <f>$F21*V$11</f>
        <v/>
      </c>
      <c r="W21" s="14">
        <f>$F21*W$11</f>
        <v/>
      </c>
      <c r="X21" s="14">
        <f>$F21*X$11</f>
        <v/>
      </c>
      <c r="Y21" s="14">
        <f>$F21*Y$11</f>
        <v/>
      </c>
      <c r="Z21" s="14">
        <f>$F21*Z$11</f>
        <v/>
      </c>
      <c r="AA21" s="14">
        <f>$F21*AA$11</f>
        <v/>
      </c>
      <c r="AB21" s="14">
        <f>$F21*AB$11</f>
        <v/>
      </c>
      <c r="AC21" s="14">
        <f>$F21*AC$11</f>
        <v/>
      </c>
      <c r="AD21" s="14">
        <f>$F21*AD$11</f>
        <v/>
      </c>
      <c r="AE21" s="14">
        <f>$F21*AE$11</f>
        <v/>
      </c>
      <c r="AF21" s="14">
        <f>$F21*AF$11</f>
        <v/>
      </c>
      <c r="AG21" s="14">
        <f>$F21*AG$11</f>
        <v/>
      </c>
      <c r="AH21" s="14">
        <f>$F21*AH$11</f>
        <v/>
      </c>
      <c r="AI21" s="14">
        <f>$F21*AI$11</f>
        <v/>
      </c>
      <c r="AJ21" s="14">
        <f>$F21*AJ$11</f>
        <v/>
      </c>
      <c r="AK21" s="14">
        <f>$F21*AK$11</f>
        <v/>
      </c>
      <c r="AL21" s="14">
        <f>$F21*AL$11</f>
        <v/>
      </c>
      <c r="AM21" s="14">
        <f>$F21*AM$11</f>
        <v/>
      </c>
      <c r="AN21" s="14">
        <f>$F21*AN$11</f>
        <v/>
      </c>
      <c r="AO21" s="14">
        <f>$F21*AO$11</f>
        <v/>
      </c>
    </row>
    <row r="22" ht="24" customHeight="1">
      <c r="A22" s="13" t="n">
        <v>11</v>
      </c>
      <c r="B22" s="4" t="inlineStr">
        <is>
          <t>Impresora</t>
        </is>
      </c>
      <c r="C22" s="14" t="n"/>
      <c r="D22" s="14" t="n"/>
      <c r="E22" s="14" t="n"/>
      <c r="F22" s="15" t="n">
        <v>1</v>
      </c>
      <c r="G22" s="14">
        <f>$F22*G$11</f>
        <v/>
      </c>
      <c r="H22" s="14">
        <f>$F22*H$11</f>
        <v/>
      </c>
      <c r="I22" s="14">
        <f>$F22*I$11</f>
        <v/>
      </c>
      <c r="J22" s="14">
        <f>$F22*J$11</f>
        <v/>
      </c>
      <c r="K22" s="14">
        <f>$F22*K$11</f>
        <v/>
      </c>
      <c r="L22" s="14">
        <f>$F22*L$11</f>
        <v/>
      </c>
      <c r="M22" s="14">
        <f>$F22*M$11</f>
        <v/>
      </c>
      <c r="N22" s="14">
        <f>$F22*N$11</f>
        <v/>
      </c>
      <c r="O22" s="14">
        <f>$F22*O$11</f>
        <v/>
      </c>
      <c r="P22" s="14">
        <f>$F22*P$11</f>
        <v/>
      </c>
      <c r="Q22" s="14">
        <f>$F22*Q$11</f>
        <v/>
      </c>
      <c r="R22" s="14">
        <f>$F22*R$11</f>
        <v/>
      </c>
      <c r="S22" s="14">
        <f>$F22*S$11</f>
        <v/>
      </c>
      <c r="T22" s="14">
        <f>$F22*T$11</f>
        <v/>
      </c>
      <c r="U22" s="14">
        <f>$F22*U$11</f>
        <v/>
      </c>
      <c r="V22" s="14">
        <f>$F22*V$11</f>
        <v/>
      </c>
      <c r="W22" s="14">
        <f>$F22*W$11</f>
        <v/>
      </c>
      <c r="X22" s="14">
        <f>$F22*X$11</f>
        <v/>
      </c>
      <c r="Y22" s="14">
        <f>$F22*Y$11</f>
        <v/>
      </c>
      <c r="Z22" s="14">
        <f>$F22*Z$11</f>
        <v/>
      </c>
      <c r="AA22" s="14">
        <f>$F22*AA$11</f>
        <v/>
      </c>
      <c r="AB22" s="14">
        <f>$F22*AB$11</f>
        <v/>
      </c>
      <c r="AC22" s="14">
        <f>$F22*AC$11</f>
        <v/>
      </c>
      <c r="AD22" s="14">
        <f>$F22*AD$11</f>
        <v/>
      </c>
      <c r="AE22" s="14">
        <f>$F22*AE$11</f>
        <v/>
      </c>
      <c r="AF22" s="14">
        <f>$F22*AF$11</f>
        <v/>
      </c>
      <c r="AG22" s="14">
        <f>$F22*AG$11</f>
        <v/>
      </c>
      <c r="AH22" s="14">
        <f>$F22*AH$11</f>
        <v/>
      </c>
      <c r="AI22" s="14">
        <f>$F22*AI$11</f>
        <v/>
      </c>
      <c r="AJ22" s="14">
        <f>$F22*AJ$11</f>
        <v/>
      </c>
      <c r="AK22" s="14">
        <f>$F22*AK$11</f>
        <v/>
      </c>
      <c r="AL22" s="14">
        <f>$F22*AL$11</f>
        <v/>
      </c>
      <c r="AM22" s="14">
        <f>$F22*AM$11</f>
        <v/>
      </c>
      <c r="AN22" s="14">
        <f>$F22*AN$11</f>
        <v/>
      </c>
      <c r="AO22" s="14">
        <f>$F22*AO$11</f>
        <v/>
      </c>
    </row>
    <row r="23" ht="24" customHeight="1">
      <c r="A23" s="13" t="n">
        <v>12</v>
      </c>
      <c r="B23" s="4" t="inlineStr">
        <is>
          <t>Fotocopiadora</t>
        </is>
      </c>
      <c r="C23" s="14" t="n"/>
      <c r="D23" s="14" t="n"/>
      <c r="E23" s="14" t="n"/>
      <c r="F23" s="15" t="n">
        <v>1</v>
      </c>
      <c r="G23" s="14">
        <f>$F23*G$11</f>
        <v/>
      </c>
      <c r="H23" s="14">
        <f>$F23*H$11</f>
        <v/>
      </c>
      <c r="I23" s="14">
        <f>$F23*I$11</f>
        <v/>
      </c>
      <c r="J23" s="14">
        <f>$F23*J$11</f>
        <v/>
      </c>
      <c r="K23" s="14">
        <f>$F23*K$11</f>
        <v/>
      </c>
      <c r="L23" s="14">
        <f>$F23*L$11</f>
        <v/>
      </c>
      <c r="M23" s="14">
        <f>$F23*M$11</f>
        <v/>
      </c>
      <c r="N23" s="14">
        <f>$F23*N$11</f>
        <v/>
      </c>
      <c r="O23" s="14">
        <f>$F23*O$11</f>
        <v/>
      </c>
      <c r="P23" s="14">
        <f>$F23*P$11</f>
        <v/>
      </c>
      <c r="Q23" s="14">
        <f>$F23*Q$11</f>
        <v/>
      </c>
      <c r="R23" s="14">
        <f>$F23*R$11</f>
        <v/>
      </c>
      <c r="S23" s="14">
        <f>$F23*S$11</f>
        <v/>
      </c>
      <c r="T23" s="14">
        <f>$F23*T$11</f>
        <v/>
      </c>
      <c r="U23" s="14">
        <f>$F23*U$11</f>
        <v/>
      </c>
      <c r="V23" s="14">
        <f>$F23*V$11</f>
        <v/>
      </c>
      <c r="W23" s="14">
        <f>$F23*W$11</f>
        <v/>
      </c>
      <c r="X23" s="14">
        <f>$F23*X$11</f>
        <v/>
      </c>
      <c r="Y23" s="14">
        <f>$F23*Y$11</f>
        <v/>
      </c>
      <c r="Z23" s="14">
        <f>$F23*Z$11</f>
        <v/>
      </c>
      <c r="AA23" s="14">
        <f>$F23*AA$11</f>
        <v/>
      </c>
      <c r="AB23" s="14">
        <f>$F23*AB$11</f>
        <v/>
      </c>
      <c r="AC23" s="14">
        <f>$F23*AC$11</f>
        <v/>
      </c>
      <c r="AD23" s="14">
        <f>$F23*AD$11</f>
        <v/>
      </c>
      <c r="AE23" s="14">
        <f>$F23*AE$11</f>
        <v/>
      </c>
      <c r="AF23" s="14">
        <f>$F23*AF$11</f>
        <v/>
      </c>
      <c r="AG23" s="14">
        <f>$F23*AG$11</f>
        <v/>
      </c>
      <c r="AH23" s="14">
        <f>$F23*AH$11</f>
        <v/>
      </c>
      <c r="AI23" s="14">
        <f>$F23*AI$11</f>
        <v/>
      </c>
      <c r="AJ23" s="14">
        <f>$F23*AJ$11</f>
        <v/>
      </c>
      <c r="AK23" s="14">
        <f>$F23*AK$11</f>
        <v/>
      </c>
      <c r="AL23" s="14">
        <f>$F23*AL$11</f>
        <v/>
      </c>
      <c r="AM23" s="14">
        <f>$F23*AM$11</f>
        <v/>
      </c>
      <c r="AN23" s="14">
        <f>$F23*AN$11</f>
        <v/>
      </c>
      <c r="AO23" s="14">
        <f>$F23*AO$11</f>
        <v/>
      </c>
    </row>
    <row r="24" ht="24" customHeight="1">
      <c r="A24" s="13" t="n">
        <v>13</v>
      </c>
      <c r="B24" s="4" t="inlineStr">
        <is>
          <t>Conexión a internet</t>
        </is>
      </c>
      <c r="C24" s="14" t="n"/>
      <c r="D24" s="14" t="n"/>
      <c r="E24" s="14" t="inlineStr">
        <is>
          <t>x</t>
        </is>
      </c>
      <c r="F24" s="15" t="n">
        <v>3</v>
      </c>
      <c r="G24" s="14">
        <f>$F24*G$11</f>
        <v/>
      </c>
      <c r="H24" s="14">
        <f>$F24*H$11</f>
        <v/>
      </c>
      <c r="I24" s="14">
        <f>$F24*I$11</f>
        <v/>
      </c>
      <c r="J24" s="14">
        <f>$F24*J$11</f>
        <v/>
      </c>
      <c r="K24" s="14">
        <f>$F24*K$11</f>
        <v/>
      </c>
      <c r="L24" s="14">
        <f>$F24*L$11</f>
        <v/>
      </c>
      <c r="M24" s="14">
        <f>$F24*M$11</f>
        <v/>
      </c>
      <c r="N24" s="14">
        <f>$F24*N$11</f>
        <v/>
      </c>
      <c r="O24" s="14">
        <f>$F24*O$11</f>
        <v/>
      </c>
      <c r="P24" s="14">
        <f>$F24*P$11</f>
        <v/>
      </c>
      <c r="Q24" s="14">
        <f>$F24*Q$11</f>
        <v/>
      </c>
      <c r="R24" s="14">
        <f>$F24*R$11</f>
        <v/>
      </c>
      <c r="S24" s="14">
        <f>$F24*S$11</f>
        <v/>
      </c>
      <c r="T24" s="14">
        <f>$F24*T$11</f>
        <v/>
      </c>
      <c r="U24" s="14">
        <f>$F24*U$11</f>
        <v/>
      </c>
      <c r="V24" s="14">
        <f>$F24*V$11</f>
        <v/>
      </c>
      <c r="W24" s="14">
        <f>$F24*W$11</f>
        <v/>
      </c>
      <c r="X24" s="14">
        <f>$F24*X$11</f>
        <v/>
      </c>
      <c r="Y24" s="14">
        <f>$F24*Y$11</f>
        <v/>
      </c>
      <c r="Z24" s="14">
        <f>$F24*Z$11</f>
        <v/>
      </c>
      <c r="AA24" s="14">
        <f>$F24*AA$11</f>
        <v/>
      </c>
      <c r="AB24" s="14">
        <f>$F24*AB$11</f>
        <v/>
      </c>
      <c r="AC24" s="14">
        <f>$F24*AC$11</f>
        <v/>
      </c>
      <c r="AD24" s="14">
        <f>$F24*AD$11</f>
        <v/>
      </c>
      <c r="AE24" s="14">
        <f>$F24*AE$11</f>
        <v/>
      </c>
      <c r="AF24" s="14">
        <f>$F24*AF$11</f>
        <v/>
      </c>
      <c r="AG24" s="14">
        <f>$F24*AG$11</f>
        <v/>
      </c>
      <c r="AH24" s="14">
        <f>$F24*AH$11</f>
        <v/>
      </c>
      <c r="AI24" s="14">
        <f>$F24*AI$11</f>
        <v/>
      </c>
      <c r="AJ24" s="14">
        <f>$F24*AJ$11</f>
        <v/>
      </c>
      <c r="AK24" s="14">
        <f>$F24*AK$11</f>
        <v/>
      </c>
      <c r="AL24" s="14">
        <f>$F24*AL$11</f>
        <v/>
      </c>
      <c r="AM24" s="14">
        <f>$F24*AM$11</f>
        <v/>
      </c>
      <c r="AN24" s="14">
        <f>$F24*AN$11</f>
        <v/>
      </c>
      <c r="AO24" s="14">
        <f>$F24*AO$11</f>
        <v/>
      </c>
    </row>
    <row r="25" ht="24" customHeight="1">
      <c r="A25" s="13" t="n">
        <v>14</v>
      </c>
      <c r="B25" s="4" t="inlineStr">
        <is>
          <t>Enlace con el archivo central</t>
        </is>
      </c>
      <c r="C25" s="14" t="inlineStr">
        <is>
          <t>x</t>
        </is>
      </c>
      <c r="D25" s="14" t="inlineStr">
        <is>
          <t>x</t>
        </is>
      </c>
      <c r="E25" s="14" t="inlineStr">
        <is>
          <t>x</t>
        </is>
      </c>
      <c r="F25" s="15" t="n">
        <v>3</v>
      </c>
      <c r="G25" s="14">
        <f>$F25*G$11</f>
        <v/>
      </c>
      <c r="H25" s="14">
        <f>$F25*H$11</f>
        <v/>
      </c>
      <c r="I25" s="14">
        <f>$F25*I$11</f>
        <v/>
      </c>
      <c r="J25" s="14">
        <f>$F25*J$11</f>
        <v/>
      </c>
      <c r="K25" s="14">
        <f>$F25*K$11</f>
        <v/>
      </c>
      <c r="L25" s="14">
        <f>$F25*L$11</f>
        <v/>
      </c>
      <c r="M25" s="14">
        <f>$F25*M$11</f>
        <v/>
      </c>
      <c r="N25" s="14">
        <f>$F25*N$11</f>
        <v/>
      </c>
      <c r="O25" s="14">
        <f>$F25*O$11</f>
        <v/>
      </c>
      <c r="P25" s="14">
        <f>$F25*P$11</f>
        <v/>
      </c>
      <c r="Q25" s="14">
        <f>$F25*Q$11</f>
        <v/>
      </c>
      <c r="R25" s="14">
        <f>$F25*R$11</f>
        <v/>
      </c>
      <c r="S25" s="14">
        <f>$F25*S$11</f>
        <v/>
      </c>
      <c r="T25" s="14">
        <f>$F25*T$11</f>
        <v/>
      </c>
      <c r="U25" s="14">
        <f>$F25*U$11</f>
        <v/>
      </c>
      <c r="V25" s="14">
        <f>$F25*V$11</f>
        <v/>
      </c>
      <c r="W25" s="14">
        <f>$F25*W$11</f>
        <v/>
      </c>
      <c r="X25" s="14">
        <f>$F25*X$11</f>
        <v/>
      </c>
      <c r="Y25" s="14">
        <f>$F25*Y$11</f>
        <v/>
      </c>
      <c r="Z25" s="14">
        <f>$F25*Z$11</f>
        <v/>
      </c>
      <c r="AA25" s="14">
        <f>$F25*AA$11</f>
        <v/>
      </c>
      <c r="AB25" s="14">
        <f>$F25*AB$11</f>
        <v/>
      </c>
      <c r="AC25" s="14">
        <f>$F25*AC$11</f>
        <v/>
      </c>
      <c r="AD25" s="14">
        <f>$F25*AD$11</f>
        <v/>
      </c>
      <c r="AE25" s="14">
        <f>$F25*AE$11</f>
        <v/>
      </c>
      <c r="AF25" s="14">
        <f>$F25*AF$11</f>
        <v/>
      </c>
      <c r="AG25" s="14">
        <f>$F25*AG$11</f>
        <v/>
      </c>
      <c r="AH25" s="14">
        <f>$F25*AH$11</f>
        <v/>
      </c>
      <c r="AI25" s="14">
        <f>$F25*AI$11</f>
        <v/>
      </c>
      <c r="AJ25" s="14">
        <f>$F25*AJ$11</f>
        <v/>
      </c>
      <c r="AK25" s="14">
        <f>$F25*AK$11</f>
        <v/>
      </c>
      <c r="AL25" s="14">
        <f>$F25*AL$11</f>
        <v/>
      </c>
      <c r="AM25" s="14">
        <f>$F25*AM$11</f>
        <v/>
      </c>
      <c r="AN25" s="14">
        <f>$F25*AN$11</f>
        <v/>
      </c>
      <c r="AO25" s="14">
        <f>$F25*AO$11</f>
        <v/>
      </c>
    </row>
    <row r="26" ht="24" customHeight="1">
      <c r="A26" s="13" t="n">
        <v>15</v>
      </c>
      <c r="B26" s="4" t="inlineStr">
        <is>
          <t>Red local (LAN)</t>
        </is>
      </c>
      <c r="C26" s="14" t="n"/>
      <c r="D26" s="14" t="n"/>
      <c r="E26" s="14" t="inlineStr">
        <is>
          <t>x</t>
        </is>
      </c>
      <c r="F26" s="15" t="n">
        <v>3</v>
      </c>
      <c r="G26" s="14">
        <f>$F26*G$11</f>
        <v/>
      </c>
      <c r="H26" s="14">
        <f>$F26*H$11</f>
        <v/>
      </c>
      <c r="I26" s="14">
        <f>$F26*I$11</f>
        <v/>
      </c>
      <c r="J26" s="14">
        <f>$F26*J$11</f>
        <v/>
      </c>
      <c r="K26" s="14">
        <f>$F26*K$11</f>
        <v/>
      </c>
      <c r="L26" s="14">
        <f>$F26*L$11</f>
        <v/>
      </c>
      <c r="M26" s="14">
        <f>$F26*M$11</f>
        <v/>
      </c>
      <c r="N26" s="14">
        <f>$F26*N$11</f>
        <v/>
      </c>
      <c r="O26" s="14">
        <f>$F26*O$11</f>
        <v/>
      </c>
      <c r="P26" s="14">
        <f>$F26*P$11</f>
        <v/>
      </c>
      <c r="Q26" s="14">
        <f>$F26*Q$11</f>
        <v/>
      </c>
      <c r="R26" s="14">
        <f>$F26*R$11</f>
        <v/>
      </c>
      <c r="S26" s="14">
        <f>$F26*S$11</f>
        <v/>
      </c>
      <c r="T26" s="14">
        <f>$F26*T$11</f>
        <v/>
      </c>
      <c r="U26" s="14">
        <f>$F26*U$11</f>
        <v/>
      </c>
      <c r="V26" s="14">
        <f>$F26*V$11</f>
        <v/>
      </c>
      <c r="W26" s="14">
        <f>$F26*W$11</f>
        <v/>
      </c>
      <c r="X26" s="14">
        <f>$F26*X$11</f>
        <v/>
      </c>
      <c r="Y26" s="14">
        <f>$F26*Y$11</f>
        <v/>
      </c>
      <c r="Z26" s="14">
        <f>$F26*Z$11</f>
        <v/>
      </c>
      <c r="AA26" s="14">
        <f>$F26*AA$11</f>
        <v/>
      </c>
      <c r="AB26" s="14">
        <f>$F26*AB$11</f>
        <v/>
      </c>
      <c r="AC26" s="14">
        <f>$F26*AC$11</f>
        <v/>
      </c>
      <c r="AD26" s="14">
        <f>$F26*AD$11</f>
        <v/>
      </c>
      <c r="AE26" s="14">
        <f>$F26*AE$11</f>
        <v/>
      </c>
      <c r="AF26" s="14">
        <f>$F26*AF$11</f>
        <v/>
      </c>
      <c r="AG26" s="14">
        <f>$F26*AG$11</f>
        <v/>
      </c>
      <c r="AH26" s="14">
        <f>$F26*AH$11</f>
        <v/>
      </c>
      <c r="AI26" s="14">
        <f>$F26*AI$11</f>
        <v/>
      </c>
      <c r="AJ26" s="14">
        <f>$F26*AJ$11</f>
        <v/>
      </c>
      <c r="AK26" s="14">
        <f>$F26*AK$11</f>
        <v/>
      </c>
      <c r="AL26" s="14">
        <f>$F26*AL$11</f>
        <v/>
      </c>
      <c r="AM26" s="14">
        <f>$F26*AM$11</f>
        <v/>
      </c>
      <c r="AN26" s="14">
        <f>$F26*AN$11</f>
        <v/>
      </c>
      <c r="AO26" s="14">
        <f>$F26*AO$11</f>
        <v/>
      </c>
    </row>
    <row r="27" ht="24" customHeight="1">
      <c r="A27" s="13" t="n">
        <v>16</v>
      </c>
      <c r="B27" s="4" t="inlineStr">
        <is>
          <t>Edificio de la unidad</t>
        </is>
      </c>
      <c r="C27" s="14" t="n"/>
      <c r="D27" s="14" t="n"/>
      <c r="E27" s="14" t="inlineStr">
        <is>
          <t>x</t>
        </is>
      </c>
      <c r="F27" s="15" t="n">
        <v>2</v>
      </c>
      <c r="G27" s="14">
        <f>$F27*G$11</f>
        <v/>
      </c>
      <c r="H27" s="14">
        <f>$F27*H$11</f>
        <v/>
      </c>
      <c r="I27" s="14">
        <f>$F27*I$11</f>
        <v/>
      </c>
      <c r="J27" s="14">
        <f>$F27*J$11</f>
        <v/>
      </c>
      <c r="K27" s="14">
        <f>$F27*K$11</f>
        <v/>
      </c>
      <c r="L27" s="14">
        <f>$F27*L$11</f>
        <v/>
      </c>
      <c r="M27" s="14">
        <f>$F27*M$11</f>
        <v/>
      </c>
      <c r="N27" s="14">
        <f>$F27*N$11</f>
        <v/>
      </c>
      <c r="O27" s="14">
        <f>$F27*O$11</f>
        <v/>
      </c>
      <c r="P27" s="14">
        <f>$F27*P$11</f>
        <v/>
      </c>
      <c r="Q27" s="14">
        <f>$F27*Q$11</f>
        <v/>
      </c>
      <c r="R27" s="14">
        <f>$F27*R$11</f>
        <v/>
      </c>
      <c r="S27" s="14">
        <f>$F27*S$11</f>
        <v/>
      </c>
      <c r="T27" s="14">
        <f>$F27*T$11</f>
        <v/>
      </c>
      <c r="U27" s="14">
        <f>$F27*U$11</f>
        <v/>
      </c>
      <c r="V27" s="14">
        <f>$F27*V$11</f>
        <v/>
      </c>
      <c r="W27" s="14">
        <f>$F27*W$11</f>
        <v/>
      </c>
      <c r="X27" s="14">
        <f>$F27*X$11</f>
        <v/>
      </c>
      <c r="Y27" s="14">
        <f>$F27*Y$11</f>
        <v/>
      </c>
      <c r="Z27" s="14">
        <f>$F27*Z$11</f>
        <v/>
      </c>
      <c r="AA27" s="14">
        <f>$F27*AA$11</f>
        <v/>
      </c>
      <c r="AB27" s="14">
        <f>$F27*AB$11</f>
        <v/>
      </c>
      <c r="AC27" s="14">
        <f>$F27*AC$11</f>
        <v/>
      </c>
      <c r="AD27" s="14">
        <f>$F27*AD$11</f>
        <v/>
      </c>
      <c r="AE27" s="14">
        <f>$F27*AE$11</f>
        <v/>
      </c>
      <c r="AF27" s="14">
        <f>$F27*AF$11</f>
        <v/>
      </c>
      <c r="AG27" s="14">
        <f>$F27*AG$11</f>
        <v/>
      </c>
      <c r="AH27" s="14">
        <f>$F27*AH$11</f>
        <v/>
      </c>
      <c r="AI27" s="14">
        <f>$F27*AI$11</f>
        <v/>
      </c>
      <c r="AJ27" s="14">
        <f>$F27*AJ$11</f>
        <v/>
      </c>
      <c r="AK27" s="14">
        <f>$F27*AK$11</f>
        <v/>
      </c>
      <c r="AL27" s="14">
        <f>$F27*AL$11</f>
        <v/>
      </c>
      <c r="AM27" s="14">
        <f>$F27*AM$11</f>
        <v/>
      </c>
      <c r="AN27" s="14">
        <f>$F27*AN$11</f>
        <v/>
      </c>
      <c r="AO27" s="14">
        <f>$F27*AO$11</f>
        <v/>
      </c>
    </row>
    <row r="28" ht="24" customHeight="1">
      <c r="A28" s="13" t="n">
        <v>17</v>
      </c>
      <c r="B28" s="4" t="inlineStr">
        <is>
          <t>Funcionario de atención (operador del software)</t>
        </is>
      </c>
      <c r="C28" s="14" t="n"/>
      <c r="D28" s="14" t="n"/>
      <c r="E28" s="14" t="inlineStr">
        <is>
          <t>x</t>
        </is>
      </c>
      <c r="F28" s="15" t="n">
        <v>3</v>
      </c>
      <c r="G28" s="14">
        <f>$F28*G$11</f>
        <v/>
      </c>
      <c r="H28" s="14">
        <f>$F28*H$11</f>
        <v/>
      </c>
      <c r="I28" s="14">
        <f>$F28*I$11</f>
        <v/>
      </c>
      <c r="J28" s="14">
        <f>$F28*J$11</f>
        <v/>
      </c>
      <c r="K28" s="14">
        <f>$F28*K$11</f>
        <v/>
      </c>
      <c r="L28" s="14">
        <f>$F28*L$11</f>
        <v/>
      </c>
      <c r="M28" s="14">
        <f>$F28*M$11</f>
        <v/>
      </c>
      <c r="N28" s="14">
        <f>$F28*N$11</f>
        <v/>
      </c>
      <c r="O28" s="14">
        <f>$F28*O$11</f>
        <v/>
      </c>
      <c r="P28" s="14">
        <f>$F28*P$11</f>
        <v/>
      </c>
      <c r="Q28" s="14">
        <f>$F28*Q$11</f>
        <v/>
      </c>
      <c r="R28" s="14">
        <f>$F28*R$11</f>
        <v/>
      </c>
      <c r="S28" s="14">
        <f>$F28*S$11</f>
        <v/>
      </c>
      <c r="T28" s="14">
        <f>$F28*T$11</f>
        <v/>
      </c>
      <c r="U28" s="14">
        <f>$F28*U$11</f>
        <v/>
      </c>
      <c r="V28" s="14">
        <f>$F28*V$11</f>
        <v/>
      </c>
      <c r="W28" s="14">
        <f>$F28*W$11</f>
        <v/>
      </c>
      <c r="X28" s="14">
        <f>$F28*X$11</f>
        <v/>
      </c>
      <c r="Y28" s="14">
        <f>$F28*Y$11</f>
        <v/>
      </c>
      <c r="Z28" s="14">
        <f>$F28*Z$11</f>
        <v/>
      </c>
      <c r="AA28" s="14">
        <f>$F28*AA$11</f>
        <v/>
      </c>
      <c r="AB28" s="14">
        <f>$F28*AB$11</f>
        <v/>
      </c>
      <c r="AC28" s="14">
        <f>$F28*AC$11</f>
        <v/>
      </c>
      <c r="AD28" s="14">
        <f>$F28*AD$11</f>
        <v/>
      </c>
      <c r="AE28" s="14">
        <f>$F28*AE$11</f>
        <v/>
      </c>
      <c r="AF28" s="14">
        <f>$F28*AF$11</f>
        <v/>
      </c>
      <c r="AG28" s="14">
        <f>$F28*AG$11</f>
        <v/>
      </c>
      <c r="AH28" s="14">
        <f>$F28*AH$11</f>
        <v/>
      </c>
      <c r="AI28" s="14">
        <f>$F28*AI$11</f>
        <v/>
      </c>
      <c r="AJ28" s="14">
        <f>$F28*AJ$11</f>
        <v/>
      </c>
      <c r="AK28" s="14">
        <f>$F28*AK$11</f>
        <v/>
      </c>
      <c r="AL28" s="14">
        <f>$F28*AL$11</f>
        <v/>
      </c>
      <c r="AM28" s="14">
        <f>$F28*AM$11</f>
        <v/>
      </c>
      <c r="AN28" s="14">
        <f>$F28*AN$11</f>
        <v/>
      </c>
      <c r="AO28" s="14">
        <f>$F28*AO$11</f>
        <v/>
      </c>
    </row>
    <row r="30">
      <c r="B30" s="16" t="inlineStr">
        <is>
          <t>Riesgo = impacto × probabilidad. Umbrales de la hoja Fuente:</t>
        </is>
      </c>
    </row>
    <row r="31">
      <c r="B31" s="17" t="inlineStr">
        <is>
          <t>Alto: 10,5 o más (12 y 16)</t>
        </is>
      </c>
      <c r="C31" s="14">
        <f>COUNTIF(G12:AO28,"&gt;=10.5")</f>
        <v/>
      </c>
    </row>
    <row r="32">
      <c r="B32" s="18" t="inlineStr">
        <is>
          <t>Medio: de 7 a 10,4 (8 y 9)</t>
        </is>
      </c>
      <c r="C32" s="14">
        <f>COUNTIF(G12:AO28,"&gt;=7")-COUNTIF(G12:AO28,"&gt;=10.5")</f>
        <v/>
      </c>
    </row>
    <row r="33">
      <c r="B33" s="19" t="inlineStr">
        <is>
          <t>Bajo: menos de 7</t>
        </is>
      </c>
      <c r="C33" s="14">
        <f>COUNTIF(G12:AO28,"&lt;7")</f>
        <v/>
      </c>
    </row>
    <row r="35">
      <c r="B35" s="5" t="inlineStr">
        <is>
          <t>Clasificación: «x» en Confidencial si la confidencialidad del activo es 4 o 5; en Obligación por ley si maneja expedientes con efectos legales o datos personales de los ciudadanos; en Costo de recuperación si su integridad o disponibilidad es 4 o 5 (valuación de la AA1).</t>
        </is>
      </c>
    </row>
    <row r="36">
      <c r="B36" s="5" t="inlineStr">
        <is>
          <t>Impacto a partir del valor CID de la AA1: crítico (13-15) = 4, alto (10-12) = 3, medio (7-9) = 2, bajo (hasta 6) = 1.</t>
        </is>
      </c>
    </row>
    <row r="37">
      <c r="B37" s="5" t="inlineStr">
        <is>
          <t>Probabilidad: el portal está expuesto en internet y se accede solo con NIF y contraseña; la unidad aún no tiene política de seguridad ni plan de recuperación (por eso el proyecto ASEGURA). El detalle de los controles está en la hoja Tratamiento.</t>
        </is>
      </c>
    </row>
  </sheetData>
  <mergeCells count="18">
    <mergeCell ref="C3:T3"/>
    <mergeCell ref="F9:F11"/>
    <mergeCell ref="C33:E33"/>
    <mergeCell ref="C6:T6"/>
    <mergeCell ref="C7:T7"/>
    <mergeCell ref="D10:D11"/>
    <mergeCell ref="O9:AA9"/>
    <mergeCell ref="AB9:AE9"/>
    <mergeCell ref="C31:E31"/>
    <mergeCell ref="AF9:AO9"/>
    <mergeCell ref="C32:E32"/>
    <mergeCell ref="G9:N9"/>
    <mergeCell ref="C9:E9"/>
    <mergeCell ref="B9:B11"/>
    <mergeCell ref="C5:T5"/>
    <mergeCell ref="C10:C11"/>
    <mergeCell ref="E10:E11"/>
    <mergeCell ref="C4:T4"/>
  </mergeCells>
  <conditionalFormatting sqref="G12:AO28">
    <cfRule type="cellIs" priority="1" operator="greaterThanOrEqual" dxfId="0">
      <formula>10.5</formula>
    </cfRule>
    <cfRule type="cellIs" priority="2" operator="greaterThanOrEqual" dxfId="1">
      <formula>7</formula>
    </cfRule>
    <cfRule type="cellIs" priority="3" operator="lessThan" dxfId="2">
      <formula>7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5" customWidth="1" min="4" max="4"/>
    <col width="5" customWidth="1" min="5" max="5"/>
    <col width="5" customWidth="1" min="6" max="6"/>
    <col width="10" customWidth="1" min="7" max="7"/>
    <col width="9" customWidth="1" min="8" max="8"/>
    <col width="12" customWidth="1" min="9" max="9"/>
  </cols>
  <sheetData>
    <row r="1">
      <c r="A1" s="1" t="inlineStr">
        <is>
          <t>Valuación de activos del caso (AA1_EV01, parte 2) y su impacto en la matriz</t>
        </is>
      </c>
    </row>
    <row r="3">
      <c r="A3" s="20" t="inlineStr">
        <is>
          <t>N.º</t>
        </is>
      </c>
      <c r="B3" s="20" t="inlineStr">
        <is>
          <t>Categoría</t>
        </is>
      </c>
      <c r="C3" s="20" t="inlineStr">
        <is>
          <t>Activo</t>
        </is>
      </c>
      <c r="D3" s="20" t="inlineStr">
        <is>
          <t>C</t>
        </is>
      </c>
      <c r="E3" s="20" t="inlineStr">
        <is>
          <t>I</t>
        </is>
      </c>
      <c r="F3" s="20" t="inlineStr">
        <is>
          <t>D</t>
        </is>
      </c>
      <c r="G3" s="20" t="inlineStr">
        <is>
          <t>Valor CID</t>
        </is>
      </c>
      <c r="H3" s="20" t="inlineStr">
        <is>
          <t>Nivel</t>
        </is>
      </c>
      <c r="I3" s="20" t="inlineStr">
        <is>
          <t>Impacto (1-4)</t>
        </is>
      </c>
    </row>
    <row r="4">
      <c r="A4" s="14" t="n">
        <v>1</v>
      </c>
      <c r="B4" s="4" t="inlineStr">
        <is>
          <t>Esencial</t>
        </is>
      </c>
      <c r="C4" s="4" t="inlineStr">
        <is>
          <t>Expedientes en trámite</t>
        </is>
      </c>
      <c r="D4" s="14" t="n">
        <v>5</v>
      </c>
      <c r="E4" s="14" t="n">
        <v>5</v>
      </c>
      <c r="F4" s="14" t="n">
        <v>4</v>
      </c>
      <c r="G4" s="14" t="n">
        <v>14</v>
      </c>
      <c r="H4" s="14" t="inlineStr">
        <is>
          <t>Crítico</t>
        </is>
      </c>
      <c r="I4" s="14" t="n">
        <v>4</v>
      </c>
    </row>
    <row r="5">
      <c r="A5" s="14" t="n">
        <v>2</v>
      </c>
      <c r="B5" s="4" t="inlineStr">
        <is>
          <t>Esencial</t>
        </is>
      </c>
      <c r="C5" s="4" t="inlineStr">
        <is>
          <t>Expedientes cerrados (archivo central)</t>
        </is>
      </c>
      <c r="D5" s="14" t="n">
        <v>5</v>
      </c>
      <c r="E5" s="14" t="n">
        <v>5</v>
      </c>
      <c r="F5" s="14" t="n">
        <v>3</v>
      </c>
      <c r="G5" s="14" t="n">
        <v>13</v>
      </c>
      <c r="H5" s="14" t="inlineStr">
        <is>
          <t>Crítico</t>
        </is>
      </c>
      <c r="I5" s="14" t="n">
        <v>4</v>
      </c>
    </row>
    <row r="6">
      <c r="A6" s="14" t="n">
        <v>3</v>
      </c>
      <c r="B6" s="4" t="inlineStr">
        <is>
          <t>Esencial</t>
        </is>
      </c>
      <c r="C6" s="4" t="inlineStr">
        <is>
          <t>Servicio de tramitación electrónica (web)</t>
        </is>
      </c>
      <c r="D6" s="14" t="n">
        <v>4</v>
      </c>
      <c r="E6" s="14" t="n">
        <v>5</v>
      </c>
      <c r="F6" s="14" t="n">
        <v>5</v>
      </c>
      <c r="G6" s="14" t="n">
        <v>14</v>
      </c>
      <c r="H6" s="14" t="inlineStr">
        <is>
          <t>Crítico</t>
        </is>
      </c>
      <c r="I6" s="14" t="n">
        <v>4</v>
      </c>
    </row>
    <row r="7">
      <c r="A7" s="14" t="n">
        <v>4</v>
      </c>
      <c r="B7" s="4" t="inlineStr">
        <is>
          <t>Esencial</t>
        </is>
      </c>
      <c r="C7" s="4" t="inlineStr">
        <is>
          <t>Servicio de tramitación presencial</t>
        </is>
      </c>
      <c r="D7" s="14" t="n">
        <v>4</v>
      </c>
      <c r="E7" s="14" t="n">
        <v>5</v>
      </c>
      <c r="F7" s="14" t="n">
        <v>4</v>
      </c>
      <c r="G7" s="14" t="n">
        <v>13</v>
      </c>
      <c r="H7" s="14" t="inlineStr">
        <is>
          <t>Crítico</t>
        </is>
      </c>
      <c r="I7" s="14" t="n">
        <v>4</v>
      </c>
    </row>
    <row r="8">
      <c r="A8" s="14" t="n">
        <v>5</v>
      </c>
      <c r="B8" s="4" t="inlineStr">
        <is>
          <t>Aplicaciones</t>
        </is>
      </c>
      <c r="C8" s="4" t="inlineStr">
        <is>
          <t>Software de tramitación y base de datos</t>
        </is>
      </c>
      <c r="D8" s="14" t="n">
        <v>5</v>
      </c>
      <c r="E8" s="14" t="n">
        <v>5</v>
      </c>
      <c r="F8" s="14" t="n">
        <v>5</v>
      </c>
      <c r="G8" s="14" t="n">
        <v>15</v>
      </c>
      <c r="H8" s="14" t="inlineStr">
        <is>
          <t>Crítico</t>
        </is>
      </c>
      <c r="I8" s="14" t="n">
        <v>4</v>
      </c>
    </row>
    <row r="9">
      <c r="A9" s="14" t="n">
        <v>6</v>
      </c>
      <c r="B9" s="4" t="inlineStr">
        <is>
          <t>Aplicaciones</t>
        </is>
      </c>
      <c r="C9" s="4" t="inlineStr">
        <is>
          <t>Portal web de administración electrónica</t>
        </is>
      </c>
      <c r="D9" s="14" t="n">
        <v>4</v>
      </c>
      <c r="E9" s="14" t="n">
        <v>5</v>
      </c>
      <c r="F9" s="14" t="n">
        <v>5</v>
      </c>
      <c r="G9" s="14" t="n">
        <v>14</v>
      </c>
      <c r="H9" s="14" t="inlineStr">
        <is>
          <t>Crítico</t>
        </is>
      </c>
      <c r="I9" s="14" t="n">
        <v>4</v>
      </c>
    </row>
    <row r="10">
      <c r="A10" s="14" t="n">
        <v>7</v>
      </c>
      <c r="B10" s="4" t="inlineStr">
        <is>
          <t>Aplicaciones</t>
        </is>
      </c>
      <c r="C10" s="4" t="inlineStr">
        <is>
          <t>Correo electrónico</t>
        </is>
      </c>
      <c r="D10" s="14" t="n">
        <v>4</v>
      </c>
      <c r="E10" s="14" t="n">
        <v>3</v>
      </c>
      <c r="F10" s="14" t="n">
        <v>3</v>
      </c>
      <c r="G10" s="14" t="n">
        <v>10</v>
      </c>
      <c r="H10" s="14" t="inlineStr">
        <is>
          <t>Alto</t>
        </is>
      </c>
      <c r="I10" s="14" t="n">
        <v>3</v>
      </c>
    </row>
    <row r="11">
      <c r="A11" s="14" t="n">
        <v>8</v>
      </c>
      <c r="B11" s="4" t="inlineStr">
        <is>
          <t>Equipamiento</t>
        </is>
      </c>
      <c r="C11" s="4" t="inlineStr">
        <is>
          <t>Servidor</t>
        </is>
      </c>
      <c r="D11" s="14" t="n">
        <v>5</v>
      </c>
      <c r="E11" s="14" t="n">
        <v>5</v>
      </c>
      <c r="F11" s="14" t="n">
        <v>5</v>
      </c>
      <c r="G11" s="14" t="n">
        <v>15</v>
      </c>
      <c r="H11" s="14" t="inlineStr">
        <is>
          <t>Crítico</t>
        </is>
      </c>
      <c r="I11" s="14" t="n">
        <v>4</v>
      </c>
    </row>
    <row r="12">
      <c r="A12" s="14" t="n">
        <v>9</v>
      </c>
      <c r="B12" s="4" t="inlineStr">
        <is>
          <t>Equipamiento</t>
        </is>
      </c>
      <c r="C12" s="4" t="inlineStr">
        <is>
          <t>Equipos de red (enrutador, cortafuegos)</t>
        </is>
      </c>
      <c r="D12" s="14" t="n">
        <v>4</v>
      </c>
      <c r="E12" s="14" t="n">
        <v>5</v>
      </c>
      <c r="F12" s="14" t="n">
        <v>5</v>
      </c>
      <c r="G12" s="14" t="n">
        <v>14</v>
      </c>
      <c r="H12" s="14" t="inlineStr">
        <is>
          <t>Crítico</t>
        </is>
      </c>
      <c r="I12" s="14" t="n">
        <v>4</v>
      </c>
    </row>
    <row r="13">
      <c r="A13" s="14" t="n">
        <v>10</v>
      </c>
      <c r="B13" s="4" t="inlineStr">
        <is>
          <t>Equipamiento</t>
        </is>
      </c>
      <c r="C13" s="4" t="inlineStr">
        <is>
          <t>Computadores de escritorio</t>
        </is>
      </c>
      <c r="D13" s="14" t="n">
        <v>4</v>
      </c>
      <c r="E13" s="14" t="n">
        <v>4</v>
      </c>
      <c r="F13" s="14" t="n">
        <v>3</v>
      </c>
      <c r="G13" s="14" t="n">
        <v>11</v>
      </c>
      <c r="H13" s="14" t="inlineStr">
        <is>
          <t>Alto</t>
        </is>
      </c>
      <c r="I13" s="14" t="n">
        <v>3</v>
      </c>
    </row>
    <row r="14">
      <c r="A14" s="14" t="n">
        <v>11</v>
      </c>
      <c r="B14" s="4" t="inlineStr">
        <is>
          <t>Equipamiento</t>
        </is>
      </c>
      <c r="C14" s="4" t="inlineStr">
        <is>
          <t>Impresora</t>
        </is>
      </c>
      <c r="D14" s="14" t="n">
        <v>3</v>
      </c>
      <c r="E14" s="14" t="n">
        <v>1</v>
      </c>
      <c r="F14" s="14" t="n">
        <v>1</v>
      </c>
      <c r="G14" s="14" t="n">
        <v>5</v>
      </c>
      <c r="H14" s="14" t="inlineStr">
        <is>
          <t>Bajo</t>
        </is>
      </c>
      <c r="I14" s="14" t="n">
        <v>1</v>
      </c>
    </row>
    <row r="15">
      <c r="A15" s="14" t="n">
        <v>12</v>
      </c>
      <c r="B15" s="4" t="inlineStr">
        <is>
          <t>Equipamiento</t>
        </is>
      </c>
      <c r="C15" s="4" t="inlineStr">
        <is>
          <t>Fotocopiadora</t>
        </is>
      </c>
      <c r="D15" s="14" t="n">
        <v>1</v>
      </c>
      <c r="E15" s="14" t="n">
        <v>1</v>
      </c>
      <c r="F15" s="14" t="n">
        <v>1</v>
      </c>
      <c r="G15" s="14" t="n">
        <v>3</v>
      </c>
      <c r="H15" s="14" t="inlineStr">
        <is>
          <t>Bajo</t>
        </is>
      </c>
      <c r="I15" s="14" t="n">
        <v>1</v>
      </c>
    </row>
    <row r="16">
      <c r="A16" s="14" t="n">
        <v>13</v>
      </c>
      <c r="B16" s="4" t="inlineStr">
        <is>
          <t>Comunicaciones</t>
        </is>
      </c>
      <c r="C16" s="4" t="inlineStr">
        <is>
          <t>Conexión a internet</t>
        </is>
      </c>
      <c r="D16" s="14" t="n">
        <v>3</v>
      </c>
      <c r="E16" s="14" t="n">
        <v>4</v>
      </c>
      <c r="F16" s="14" t="n">
        <v>5</v>
      </c>
      <c r="G16" s="14" t="n">
        <v>12</v>
      </c>
      <c r="H16" s="14" t="inlineStr">
        <is>
          <t>Alto</t>
        </is>
      </c>
      <c r="I16" s="14" t="n">
        <v>3</v>
      </c>
    </row>
    <row r="17">
      <c r="A17" s="14" t="n">
        <v>14</v>
      </c>
      <c r="B17" s="4" t="inlineStr">
        <is>
          <t>Comunicaciones</t>
        </is>
      </c>
      <c r="C17" s="4" t="inlineStr">
        <is>
          <t>Enlace con el archivo central</t>
        </is>
      </c>
      <c r="D17" s="14" t="n">
        <v>4</v>
      </c>
      <c r="E17" s="14" t="n">
        <v>5</v>
      </c>
      <c r="F17" s="14" t="n">
        <v>3</v>
      </c>
      <c r="G17" s="14" t="n">
        <v>12</v>
      </c>
      <c r="H17" s="14" t="inlineStr">
        <is>
          <t>Alto</t>
        </is>
      </c>
      <c r="I17" s="14" t="n">
        <v>3</v>
      </c>
    </row>
    <row r="18">
      <c r="A18" s="14" t="n">
        <v>15</v>
      </c>
      <c r="B18" s="4" t="inlineStr">
        <is>
          <t>Comunicaciones</t>
        </is>
      </c>
      <c r="C18" s="4" t="inlineStr">
        <is>
          <t>Red local (LAN)</t>
        </is>
      </c>
      <c r="D18" s="14" t="n">
        <v>3</v>
      </c>
      <c r="E18" s="14" t="n">
        <v>4</v>
      </c>
      <c r="F18" s="14" t="n">
        <v>4</v>
      </c>
      <c r="G18" s="14" t="n">
        <v>11</v>
      </c>
      <c r="H18" s="14" t="inlineStr">
        <is>
          <t>Alto</t>
        </is>
      </c>
      <c r="I18" s="14" t="n">
        <v>3</v>
      </c>
    </row>
    <row r="19">
      <c r="A19" s="14" t="n">
        <v>16</v>
      </c>
      <c r="B19" s="4" t="inlineStr">
        <is>
          <t>Instalaciones</t>
        </is>
      </c>
      <c r="C19" s="4" t="inlineStr">
        <is>
          <t>Edificio de la unidad</t>
        </is>
      </c>
      <c r="D19" s="14" t="n">
        <v>2</v>
      </c>
      <c r="E19" s="14" t="n">
        <v>3</v>
      </c>
      <c r="F19" s="14" t="n">
        <v>4</v>
      </c>
      <c r="G19" s="14" t="n">
        <v>9</v>
      </c>
      <c r="H19" s="14" t="inlineStr">
        <is>
          <t>Medio</t>
        </is>
      </c>
      <c r="I19" s="14" t="n">
        <v>2</v>
      </c>
    </row>
    <row r="20">
      <c r="A20" s="14" t="n">
        <v>17</v>
      </c>
      <c r="B20" s="4" t="inlineStr">
        <is>
          <t>Personal</t>
        </is>
      </c>
      <c r="C20" s="4" t="inlineStr">
        <is>
          <t>Funcionario de atención (operador del software)</t>
        </is>
      </c>
      <c r="D20" s="14" t="n">
        <v>3</v>
      </c>
      <c r="E20" s="14" t="n">
        <v>4</v>
      </c>
      <c r="F20" s="14" t="n">
        <v>4</v>
      </c>
      <c r="G20" s="14" t="n">
        <v>11</v>
      </c>
      <c r="H20" s="14" t="inlineStr">
        <is>
          <t>Alto</t>
        </is>
      </c>
      <c r="I20" s="14" t="n">
        <v>3</v>
      </c>
    </row>
    <row r="22">
      <c r="A22" s="5" t="inlineStr">
        <is>
          <t>Escala CID de 1 (muy bajo) a 5 (muy alto) del material de formación; valor = C + I + D (máximo 15).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Valoración</t>
        </is>
      </c>
      <c r="B1" s="21" t="inlineStr">
        <is>
          <t>Escala</t>
        </is>
      </c>
      <c r="C1" s="21" t="inlineStr">
        <is>
          <t>Valor_min</t>
        </is>
      </c>
      <c r="D1" s="21" t="inlineStr">
        <is>
          <t>Valor_max</t>
        </is>
      </c>
      <c r="E1" s="21" t="inlineStr"/>
      <c r="F1" s="21" t="inlineStr">
        <is>
          <t>Lineas</t>
        </is>
      </c>
      <c r="G1" s="21" t="inlineStr">
        <is>
          <t>Umbral Medio Riesgo</t>
        </is>
      </c>
      <c r="H1" s="21" t="inlineStr">
        <is>
          <t>Umbral Alto Riesgo</t>
        </is>
      </c>
    </row>
    <row r="2">
      <c r="A2" t="inlineStr">
        <is>
          <t>Ninguna</t>
        </is>
      </c>
      <c r="B2" t="n">
        <v>1</v>
      </c>
      <c r="C2" t="n">
        <v>1</v>
      </c>
      <c r="D2" t="n">
        <v>3</v>
      </c>
      <c r="G2" t="n">
        <v>7</v>
      </c>
      <c r="H2" t="n">
        <v>10.5</v>
      </c>
    </row>
    <row r="3">
      <c r="A3" t="inlineStr">
        <is>
          <t>Baja</t>
        </is>
      </c>
      <c r="B3" t="n">
        <v>2</v>
      </c>
      <c r="C3" t="n">
        <v>4</v>
      </c>
      <c r="D3" t="n">
        <v>6</v>
      </c>
      <c r="F3" t="inlineStr">
        <is>
          <t>x</t>
        </is>
      </c>
      <c r="G3" t="inlineStr">
        <is>
          <t>y</t>
        </is>
      </c>
      <c r="H3" t="inlineStr">
        <is>
          <t>y</t>
        </is>
      </c>
    </row>
    <row r="4">
      <c r="A4" t="inlineStr">
        <is>
          <t>Mediana</t>
        </is>
      </c>
      <c r="B4" t="n">
        <v>3</v>
      </c>
      <c r="C4" t="n">
        <v>8</v>
      </c>
      <c r="D4" t="n">
        <v>9</v>
      </c>
      <c r="F4" t="n">
        <v>1</v>
      </c>
      <c r="G4">
        <f>$G$2/F4</f>
        <v/>
      </c>
      <c r="H4">
        <f>$H$2/F4</f>
        <v/>
      </c>
    </row>
    <row r="5">
      <c r="A5" t="inlineStr">
        <is>
          <t>Alta</t>
        </is>
      </c>
      <c r="B5" t="n">
        <v>4</v>
      </c>
      <c r="C5" t="n">
        <v>12</v>
      </c>
      <c r="D5" t="n">
        <v>16</v>
      </c>
      <c r="F5" t="n">
        <v>1.1</v>
      </c>
      <c r="G5">
        <f>$G$2/F5</f>
        <v/>
      </c>
      <c r="H5">
        <f>$H$2/F5</f>
        <v/>
      </c>
    </row>
    <row r="6">
      <c r="F6" t="n">
        <v>1.2</v>
      </c>
      <c r="G6">
        <f>$G$2/F6</f>
        <v/>
      </c>
      <c r="H6">
        <f>$H$2/F6</f>
        <v/>
      </c>
    </row>
    <row r="7">
      <c r="F7" t="n">
        <v>1.3</v>
      </c>
      <c r="G7">
        <f>$G$2/F7</f>
        <v/>
      </c>
      <c r="H7">
        <f>$H$2/F7</f>
        <v/>
      </c>
    </row>
    <row r="8">
      <c r="F8" t="n">
        <v>1.4</v>
      </c>
      <c r="G8">
        <f>$G$2/F8</f>
        <v/>
      </c>
      <c r="H8">
        <f>$H$2/F8</f>
        <v/>
      </c>
    </row>
    <row r="9">
      <c r="F9" t="n">
        <v>1.5</v>
      </c>
      <c r="G9">
        <f>$G$2/F9</f>
        <v/>
      </c>
      <c r="H9">
        <f>$H$2/F9</f>
        <v/>
      </c>
    </row>
    <row r="10">
      <c r="F10" t="n">
        <v>1.6</v>
      </c>
      <c r="G10">
        <f>$G$2/F10</f>
        <v/>
      </c>
      <c r="H10">
        <f>$H$2/F10</f>
        <v/>
      </c>
    </row>
    <row r="11">
      <c r="F11" t="n">
        <v>1.75</v>
      </c>
      <c r="G11">
        <f>$G$2/F11</f>
        <v/>
      </c>
      <c r="H11">
        <f>$H$2/F11</f>
        <v/>
      </c>
    </row>
    <row r="12">
      <c r="F12" t="n">
        <v>1.8</v>
      </c>
      <c r="G12">
        <f>$G$2/F12</f>
        <v/>
      </c>
      <c r="H12">
        <f>$H$2/F12</f>
        <v/>
      </c>
    </row>
    <row r="13">
      <c r="F13" t="n">
        <v>1.9</v>
      </c>
      <c r="G13">
        <f>$G$2/F13</f>
        <v/>
      </c>
      <c r="H13">
        <f>$H$2/F13</f>
        <v/>
      </c>
    </row>
    <row r="14">
      <c r="F14" t="n">
        <v>2</v>
      </c>
      <c r="G14">
        <f>$G$2/F14</f>
        <v/>
      </c>
      <c r="H14">
        <f>$H$2/F14</f>
        <v/>
      </c>
    </row>
    <row r="15">
      <c r="F15" t="n">
        <v>2.1</v>
      </c>
      <c r="G15">
        <f>$G$2/F15</f>
        <v/>
      </c>
      <c r="H15">
        <f>$H$2/F15</f>
        <v/>
      </c>
    </row>
    <row r="16">
      <c r="F16" t="n">
        <v>2.2</v>
      </c>
      <c r="G16">
        <f>$G$2/F16</f>
        <v/>
      </c>
      <c r="H16">
        <f>$H$2/F16</f>
        <v/>
      </c>
    </row>
    <row r="17">
      <c r="F17" t="n">
        <v>2.3</v>
      </c>
      <c r="G17">
        <f>$G$2/F17</f>
        <v/>
      </c>
      <c r="H17">
        <f>$H$2/F17</f>
        <v/>
      </c>
    </row>
    <row r="18">
      <c r="F18" t="n">
        <v>2.4</v>
      </c>
      <c r="G18">
        <f>$G$2/F18</f>
        <v/>
      </c>
      <c r="H18">
        <f>$H$2/F18</f>
        <v/>
      </c>
    </row>
    <row r="19">
      <c r="F19" t="n">
        <v>2.5</v>
      </c>
      <c r="G19">
        <f>$G$2/F19</f>
        <v/>
      </c>
      <c r="H19">
        <f>$H$2/F19</f>
        <v/>
      </c>
    </row>
    <row r="20">
      <c r="F20" t="n">
        <v>2.625</v>
      </c>
      <c r="G20">
        <f>$G$2/F20</f>
        <v/>
      </c>
      <c r="H20">
        <f>$H$2/F20</f>
        <v/>
      </c>
    </row>
    <row r="21">
      <c r="F21" t="n">
        <v>2.7</v>
      </c>
      <c r="G21">
        <f>$G$2/F21</f>
        <v/>
      </c>
      <c r="H21">
        <f>$H$2/F21</f>
        <v/>
      </c>
    </row>
    <row r="22">
      <c r="F22" t="n">
        <v>2.8</v>
      </c>
      <c r="G22">
        <f>$G$2/F22</f>
        <v/>
      </c>
      <c r="H22">
        <f>$H$2/F22</f>
        <v/>
      </c>
    </row>
    <row r="23">
      <c r="F23" t="n">
        <v>2.9</v>
      </c>
      <c r="G23">
        <f>$G$2/F23</f>
        <v/>
      </c>
      <c r="H23">
        <f>$H$2/F23</f>
        <v/>
      </c>
    </row>
    <row r="24">
      <c r="F24" t="n">
        <v>3</v>
      </c>
      <c r="G24">
        <f>$G$2/F24</f>
        <v/>
      </c>
      <c r="H24">
        <f>$H$2/F24</f>
        <v/>
      </c>
    </row>
    <row r="25">
      <c r="F25" t="n">
        <v>3.1</v>
      </c>
      <c r="G25">
        <f>$G$2/F25</f>
        <v/>
      </c>
      <c r="H25">
        <f>$H$2/F25</f>
        <v/>
      </c>
    </row>
    <row r="26">
      <c r="F26" t="n">
        <v>3.2</v>
      </c>
      <c r="G26">
        <f>$G$2/F26</f>
        <v/>
      </c>
      <c r="H26">
        <f>$H$2/F26</f>
        <v/>
      </c>
    </row>
    <row r="27">
      <c r="F27" t="n">
        <v>3.3</v>
      </c>
      <c r="G27">
        <f>$G$2/F27</f>
        <v/>
      </c>
      <c r="H27">
        <f>$H$2/F27</f>
        <v/>
      </c>
    </row>
    <row r="28">
      <c r="F28" t="n">
        <v>3.4</v>
      </c>
      <c r="G28">
        <f>$G$2/F28</f>
        <v/>
      </c>
      <c r="H28">
        <f>$H$2/F28</f>
        <v/>
      </c>
    </row>
    <row r="29">
      <c r="F29" t="n">
        <v>3.5</v>
      </c>
      <c r="G29">
        <f>$G$2/F29</f>
        <v/>
      </c>
      <c r="H29">
        <f>$H$2/F29</f>
        <v/>
      </c>
    </row>
    <row r="30">
      <c r="F30" t="n">
        <v>3.6</v>
      </c>
      <c r="G30">
        <f>$G$2/F30</f>
        <v/>
      </c>
      <c r="H30">
        <f>$H$2/F30</f>
        <v/>
      </c>
    </row>
    <row r="31">
      <c r="F31" t="n">
        <v>3.7</v>
      </c>
      <c r="G31">
        <f>$G$2/F31</f>
        <v/>
      </c>
      <c r="H31">
        <f>$H$2/F31</f>
        <v/>
      </c>
    </row>
    <row r="32">
      <c r="F32" t="n">
        <v>3.8</v>
      </c>
      <c r="G32">
        <f>$G$2/F32</f>
        <v/>
      </c>
      <c r="H32">
        <f>$H$2/F32</f>
        <v/>
      </c>
    </row>
    <row r="33">
      <c r="F33" t="n">
        <v>3.9</v>
      </c>
      <c r="G33">
        <f>$G$2/F33</f>
        <v/>
      </c>
      <c r="H33">
        <f>$H$2/F33</f>
        <v/>
      </c>
    </row>
    <row r="34">
      <c r="F34" t="n">
        <v>4</v>
      </c>
      <c r="G34">
        <f>$G$2/F34</f>
        <v/>
      </c>
      <c r="H34">
        <f>$H$2/F34</f>
        <v/>
      </c>
    </row>
  </sheetData>
  <pageMargins left="0.75" right="0.75" top="1" bottom="1" header="0.5" footer="0.5"/>
  <pageSetup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4" customWidth="1" min="3" max="3"/>
    <col width="9" customWidth="1" min="4" max="4"/>
    <col width="66" customWidth="1" min="5" max="5"/>
    <col width="16" customWidth="1" min="6" max="6"/>
    <col width="9" customWidth="1" min="7" max="7"/>
  </cols>
  <sheetData>
    <row r="1">
      <c r="A1" s="1" t="inlineStr">
        <is>
          <t>Tratamiento de los riesgos altos (riesgo ≥ 10,5)</t>
        </is>
      </c>
    </row>
    <row r="2">
      <c r="A2" s="2" t="inlineStr">
        <is>
          <t>Se agrupan por amenaza o vulnerabilidad: un mismo control reduce el riesgo de todos los activos afectados. Opción de tratamiento según ISO/IEC 27005: mitigar con controles del anexo A de ISO/IEC 27001:2022.</t>
        </is>
      </c>
    </row>
    <row r="4">
      <c r="A4" s="20" t="inlineStr">
        <is>
          <t>Amenaza o vulnerabilidad</t>
        </is>
      </c>
      <c r="B4" s="20" t="inlineStr">
        <is>
          <t>Probabilidad</t>
        </is>
      </c>
      <c r="C4" s="20" t="inlineStr">
        <is>
          <t>Activos con riesgo alto</t>
        </is>
      </c>
      <c r="D4" s="20" t="inlineStr">
        <is>
          <t>Riesgo máximo</t>
        </is>
      </c>
      <c r="E4" s="20" t="inlineStr">
        <is>
          <t>Control propuesto</t>
        </is>
      </c>
      <c r="F4" s="20" t="inlineStr">
        <is>
          <t>Responsable</t>
        </is>
      </c>
      <c r="G4" s="20" t="inlineStr">
        <is>
          <t>Plazo</t>
        </is>
      </c>
    </row>
    <row r="5" ht="42" customHeight="1">
      <c r="A5" s="4" t="inlineStr">
        <is>
          <t>Acceso no autorizado</t>
        </is>
      </c>
      <c r="B5" s="14" t="n">
        <v>4</v>
      </c>
      <c r="C5" s="4" t="inlineStr">
        <is>
          <t>14: n.º 1, 2, 3, 4, 5, 6, 7, 8, 9, 10, 13, 14, 15, 17</t>
        </is>
      </c>
      <c r="D5" s="22" t="n">
        <v>16</v>
      </c>
      <c r="E5" s="4" t="inlineStr">
        <is>
          <t>Segundo factor de autenticación en el portal además del NIF y la contraseña; bloqueo tras intentos fallidos; perfiles por rol para el funcionario (A.5.15, A.5.17, A.8.5)</t>
        </is>
      </c>
      <c r="F5" s="14" t="inlineStr">
        <is>
          <t>Servicios informáticos</t>
        </is>
      </c>
      <c r="G5" s="14" t="inlineStr">
        <is>
          <t>2 meses</t>
        </is>
      </c>
    </row>
    <row r="6" ht="42" customHeight="1">
      <c r="A6" s="4" t="inlineStr">
        <is>
          <t>Explotación de errores</t>
        </is>
      </c>
      <c r="B6" s="14" t="n">
        <v>3</v>
      </c>
      <c r="C6" s="4" t="inlineStr">
        <is>
          <t>8: n.º 1, 2, 3, 4, 5, 6, 8, 9</t>
        </is>
      </c>
      <c r="D6" s="22" t="n">
        <v>12</v>
      </c>
      <c r="E6" s="4" t="inlineStr">
        <is>
          <t>Pruebas de seguridad del portal antes de cada versión y corrección de fallos según OWASP Top 10 (A.8.25, A.8.29)</t>
        </is>
      </c>
      <c r="F6" s="14" t="inlineStr">
        <is>
          <t>Servicios informáticos</t>
        </is>
      </c>
      <c r="G6" s="14" t="inlineStr">
        <is>
          <t>3 meses</t>
        </is>
      </c>
    </row>
    <row r="7" ht="42" customHeight="1">
      <c r="A7" s="4" t="inlineStr">
        <is>
          <t>Ingenieria social</t>
        </is>
      </c>
      <c r="B7" s="14" t="n">
        <v>3</v>
      </c>
      <c r="C7" s="4" t="inlineStr">
        <is>
          <t>8: n.º 1, 2, 3, 4, 5, 6, 8, 9</t>
        </is>
      </c>
      <c r="D7" s="22" t="n">
        <v>12</v>
      </c>
      <c r="E7" s="4" t="inlineStr">
        <is>
          <t>Sensibilización del personal y avisos a los ciudadanos: la unidad nunca pide la contraseña (A.6.3)</t>
        </is>
      </c>
      <c r="F7" s="14" t="inlineStr">
        <is>
          <t>Atención a usuarios</t>
        </is>
      </c>
      <c r="G7" s="14" t="inlineStr">
        <is>
          <t>2 meses</t>
        </is>
      </c>
    </row>
    <row r="8" ht="42" customHeight="1">
      <c r="A8" s="4" t="inlineStr">
        <is>
          <t>Hacker</t>
        </is>
      </c>
      <c r="B8" s="14" t="n">
        <v>3</v>
      </c>
      <c r="C8" s="4" t="inlineStr">
        <is>
          <t>8: n.º 1, 2, 3, 4, 5, 6, 8, 9</t>
        </is>
      </c>
      <c r="D8" s="22" t="n">
        <v>12</v>
      </c>
      <c r="E8" s="4" t="inlineStr">
        <is>
          <t>Cortafuegos de aplicaciones web, servidor web separado de la base de datos y pruebas de intrusión anuales (A.8.20, A.8.22)</t>
        </is>
      </c>
      <c r="F8" s="14" t="inlineStr">
        <is>
          <t>Servicios informáticos</t>
        </is>
      </c>
      <c r="G8" s="14" t="inlineStr">
        <is>
          <t>3 meses</t>
        </is>
      </c>
    </row>
    <row r="9" ht="42" customHeight="1">
      <c r="A9" s="4" t="inlineStr">
        <is>
          <t>Codigo malicioso</t>
        </is>
      </c>
      <c r="B9" s="14" t="n">
        <v>3</v>
      </c>
      <c r="C9" s="4" t="inlineStr">
        <is>
          <t>8: n.º 1, 2, 3, 4, 5, 6, 8, 9</t>
        </is>
      </c>
      <c r="D9" s="22" t="n">
        <v>12</v>
      </c>
      <c r="E9" s="4" t="inlineStr">
        <is>
          <t>Antivirus administrado en servidor y equipos, bloqueo de macros y de dispositivos USB (A.8.7)</t>
        </is>
      </c>
      <c r="F9" s="14" t="inlineStr">
        <is>
          <t>Servicios informáticos</t>
        </is>
      </c>
      <c r="G9" s="14" t="inlineStr">
        <is>
          <t>1 mes</t>
        </is>
      </c>
    </row>
    <row r="10" ht="42" customHeight="1">
      <c r="A10" s="4" t="inlineStr">
        <is>
          <t>Virus</t>
        </is>
      </c>
      <c r="B10" s="14" t="n">
        <v>3</v>
      </c>
      <c r="C10" s="4" t="inlineStr">
        <is>
          <t>8: n.º 1, 2, 3, 4, 5, 6, 8, 9</t>
        </is>
      </c>
      <c r="D10" s="22" t="n">
        <v>12</v>
      </c>
      <c r="E10" s="4" t="inlineStr">
        <is>
          <t>Antivirus con actualización automática y análisis periódico de los equipos (A.8.7)</t>
        </is>
      </c>
      <c r="F10" s="14" t="inlineStr">
        <is>
          <t>Servicios informáticos</t>
        </is>
      </c>
      <c r="G10" s="14" t="inlineStr">
        <is>
          <t>1 mes</t>
        </is>
      </c>
    </row>
    <row r="11" ht="42" customHeight="1">
      <c r="A11" s="4" t="inlineStr">
        <is>
          <t>Documentación servidores</t>
        </is>
      </c>
      <c r="B11" s="14" t="n">
        <v>3</v>
      </c>
      <c r="C11" s="4" t="inlineStr">
        <is>
          <t>8: n.º 1, 2, 3, 4, 5, 6, 8, 9</t>
        </is>
      </c>
      <c r="D11" s="22" t="n">
        <v>12</v>
      </c>
      <c r="E11" s="4" t="inlineStr">
        <is>
          <t>Inventario y documentación de servidor, red, software y configuración (A.5.9, A.5.37)</t>
        </is>
      </c>
      <c r="F11" s="14" t="inlineStr">
        <is>
          <t>Servicios informáticos</t>
        </is>
      </c>
      <c r="G11" s="14" t="inlineStr">
        <is>
          <t>2 meses</t>
        </is>
      </c>
    </row>
    <row r="12" ht="42" customHeight="1">
      <c r="A12" s="4" t="inlineStr">
        <is>
          <t>Manuales y procedimientos</t>
        </is>
      </c>
      <c r="B12" s="14" t="n">
        <v>3</v>
      </c>
      <c r="C12" s="4" t="inlineStr">
        <is>
          <t>8: n.º 1, 2, 3, 4, 5, 6, 8, 9</t>
        </is>
      </c>
      <c r="D12" s="22" t="n">
        <v>12</v>
      </c>
      <c r="E12" s="4" t="inlineStr">
        <is>
          <t>Procedimientos escritos de operación, altas y bajas de usuarios e incidentes (A.5.37)</t>
        </is>
      </c>
      <c r="F12" s="14" t="inlineStr">
        <is>
          <t>Servicios informáticos</t>
        </is>
      </c>
      <c r="G12" s="14" t="inlineStr">
        <is>
          <t>2 meses</t>
        </is>
      </c>
    </row>
    <row r="13" ht="42" customHeight="1">
      <c r="A13" s="4" t="inlineStr">
        <is>
          <t>Listado de usuarios</t>
        </is>
      </c>
      <c r="B13" s="14" t="n">
        <v>3</v>
      </c>
      <c r="C13" s="4" t="inlineStr">
        <is>
          <t>8: n.º 1, 2, 3, 4, 5, 6, 8, 9</t>
        </is>
      </c>
      <c r="D13" s="22" t="n">
        <v>12</v>
      </c>
      <c r="E13" s="4" t="inlineStr">
        <is>
          <t>Registro de usuarios internos por rol y revisión trimestral de accesos (A.5.18)</t>
        </is>
      </c>
      <c r="F13" s="14" t="inlineStr">
        <is>
          <t>Servicios informáticos</t>
        </is>
      </c>
      <c r="G13" s="14" t="inlineStr">
        <is>
          <t>1 mes</t>
        </is>
      </c>
    </row>
    <row r="14" ht="42" customHeight="1">
      <c r="A14" s="4" t="inlineStr">
        <is>
          <t>Politicas de seguridad</t>
        </is>
      </c>
      <c r="B14" s="14" t="n">
        <v>4</v>
      </c>
      <c r="C14" s="4" t="inlineStr">
        <is>
          <t>14: n.º 1, 2, 3, 4, 5, 6, 7, 8, 9, 10, 13, 14, 15, 17</t>
        </is>
      </c>
      <c r="D14" s="22" t="n">
        <v>16</v>
      </c>
      <c r="E14" s="4" t="inlineStr">
        <is>
          <t>Política de seguridad de la información aprobada por la dirección y comunicada al personal (A.5.1)</t>
        </is>
      </c>
      <c r="F14" s="14" t="inlineStr">
        <is>
          <t>Dirección y comité de seguimiento</t>
        </is>
      </c>
      <c r="G14" s="14" t="inlineStr">
        <is>
          <t>2 meses</t>
        </is>
      </c>
    </row>
    <row r="15" ht="42" customHeight="1">
      <c r="A15" s="4" t="inlineStr">
        <is>
          <t>Actualizaciones y control de cambios</t>
        </is>
      </c>
      <c r="B15" s="14" t="n">
        <v>3</v>
      </c>
      <c r="C15" s="4" t="inlineStr">
        <is>
          <t>8: n.º 1, 2, 3, 4, 5, 6, 8, 9</t>
        </is>
      </c>
      <c r="D15" s="22" t="n">
        <v>12</v>
      </c>
      <c r="E15" s="4" t="inlineStr">
        <is>
          <t>Gestión de parches y control de cambios del software de tramitación y del portal (A.8.8, A.8.32)</t>
        </is>
      </c>
      <c r="F15" s="14" t="inlineStr">
        <is>
          <t>Servicios informáticos</t>
        </is>
      </c>
      <c r="G15" s="14" t="inlineStr">
        <is>
          <t>1 mes</t>
        </is>
      </c>
    </row>
    <row r="16" ht="42" customHeight="1">
      <c r="A16" s="4" t="inlineStr">
        <is>
          <t>Fail over</t>
        </is>
      </c>
      <c r="B16" s="14" t="n">
        <v>3</v>
      </c>
      <c r="C16" s="4" t="inlineStr">
        <is>
          <t>8: n.º 1, 2, 3, 4, 5, 6, 8, 9</t>
        </is>
      </c>
      <c r="D16" s="22" t="n">
        <v>12</v>
      </c>
      <c r="E16" s="4" t="inlineStr">
        <is>
          <t>Servidor o servicio de respaldo y segundo canal de internet para el portal (A.8.14)</t>
        </is>
      </c>
      <c r="F16" s="14" t="inlineStr">
        <is>
          <t>Servicios informáticos</t>
        </is>
      </c>
      <c r="G16" s="14" t="inlineStr">
        <is>
          <t>6 meses</t>
        </is>
      </c>
    </row>
    <row r="17" ht="42" customHeight="1">
      <c r="A17" s="4" t="inlineStr">
        <is>
          <t>Plan de recuperación de desastres</t>
        </is>
      </c>
      <c r="B17" s="14" t="n">
        <v>4</v>
      </c>
      <c r="C17" s="4" t="inlineStr">
        <is>
          <t>14: n.º 1, 2, 3, 4, 5, 6, 7, 8, 9, 10, 13, 14, 15, 17</t>
        </is>
      </c>
      <c r="D17" s="22" t="n">
        <v>16</v>
      </c>
      <c r="E17" s="4" t="inlineStr">
        <is>
          <t>Plan de continuidad del servicio de tramitación con tiempos objetivo y simulacro anual (A.5.29, A.5.30)</t>
        </is>
      </c>
      <c r="F17" s="14" t="inlineStr">
        <is>
          <t>Comité de seguimiento</t>
        </is>
      </c>
      <c r="G17" s="14" t="inlineStr">
        <is>
          <t>3 meses</t>
        </is>
      </c>
    </row>
    <row r="18" ht="42" customHeight="1">
      <c r="A18" s="4" t="inlineStr">
        <is>
          <t>Gestión y monitoreo</t>
        </is>
      </c>
      <c r="B18" s="14" t="n">
        <v>3</v>
      </c>
      <c r="C18" s="4" t="inlineStr">
        <is>
          <t>8: n.º 1, 2, 3, 4, 5, 6, 8, 9</t>
        </is>
      </c>
      <c r="D18" s="22" t="n">
        <v>12</v>
      </c>
      <c r="E18" s="4" t="inlineStr">
        <is>
          <t>Registro y revisión de eventos del portal, del servidor y del cortafuegos (A.8.15, A.8.16)</t>
        </is>
      </c>
      <c r="F18" s="14" t="inlineStr">
        <is>
          <t>Servicios informáticos</t>
        </is>
      </c>
      <c r="G18" s="14" t="inlineStr">
        <is>
          <t>2 meses</t>
        </is>
      </c>
    </row>
    <row r="19" ht="42" customHeight="1">
      <c r="A19" s="4" t="inlineStr">
        <is>
          <t>Auditoria</t>
        </is>
      </c>
      <c r="B19" s="14" t="n">
        <v>3</v>
      </c>
      <c r="C19" s="4" t="inlineStr">
        <is>
          <t>8: n.º 1, 2, 3, 4, 5, 6, 8, 9</t>
        </is>
      </c>
      <c r="D19" s="22" t="n">
        <v>12</v>
      </c>
      <c r="E19" s="4" t="inlineStr">
        <is>
          <t>Auditoría interna semestral del proyecto ASEGURA con lista de chequeo ISO/IEC 27001 (cláusula 9.2)</t>
        </is>
      </c>
      <c r="F19" s="14" t="inlineStr">
        <is>
          <t>Asesoría jurídica y comité</t>
        </is>
      </c>
      <c r="G19" s="14" t="inlineStr">
        <is>
          <t>6 meses</t>
        </is>
      </c>
    </row>
    <row r="21">
      <c r="A21" s="5" t="inlineStr">
        <is>
          <t>Los números de activo corresponden a la columna N.º de la hoja 1_Datos. Referencias: ISO/IEC 27001:2022; ISO/IEC 27005:2022; NIST SP 800-30 Rev. 1 (2012); caso de estudio del componente formativo 1 (SENA).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2026-10-30T03:28:43Z</dcterms:created>
  <dcterms:modified xmlns:dcterms="http://purl.org/dc/terms/" xmlns:xsi="http://www.w3.org/2001/XMLSchema-instance" xsi:type="dcterms:W3CDTF">2026-10-30T03:28:43Z</dcterms:modified>
</cp:coreProperties>
</file>